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ables/table4.xml" ContentType="application/vnd.openxmlformats-officedocument.spreadsheetml.table+xml"/>
  <Override PartName="/xl/worksheets/sheet11.xml" ContentType="application/vnd.openxmlformats-officedocument.spreadsheetml.worksheet+xml"/>
  <Override PartName="/xl/tables/table5.xml" ContentType="application/vnd.openxmlformats-officedocument.spreadsheetml.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tables/table8.xml" ContentType="application/vnd.openxmlformats-officedocument.spreadsheetml.table+xml"/>
  <Override PartName="/xl/worksheets/sheet16.xml" ContentType="application/vnd.openxmlformats-officedocument.spreadsheetml.worksheet+xml"/>
  <Override PartName="/xl/tables/table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ables/table10.xml" ContentType="application/vnd.openxmlformats-officedocument.spreadsheetml.table+xml"/>
  <Override PartName="/xl/worksheets/sheet23.xml" ContentType="application/vnd.openxmlformats-officedocument.spreadsheetml.worksheet+xml"/>
  <Override PartName="/xl/tables/table11.xml" ContentType="application/vnd.openxmlformats-officedocument.spreadsheetml.table+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tables/table13.xml" ContentType="application/vnd.openxmlformats-officedocument.spreadsheetml.table+xml"/>
  <Override PartName="/xl/worksheets/sheet26.xml" ContentType="application/vnd.openxmlformats-officedocument.spreadsheetml.worksheet+xml"/>
  <Override PartName="/xl/tables/table14.xml" ContentType="application/vnd.openxmlformats-officedocument.spreadsheetml.table+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5.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ables/table16.xml" ContentType="application/vnd.openxmlformats-officedocument.spreadsheetml.table+xml"/>
  <Override PartName="/xl/worksheets/sheet33.xml" ContentType="application/vnd.openxmlformats-officedocument.spreadsheetml.worksheet+xml"/>
  <Override PartName="/xl/tables/table17.xml" ContentType="application/vnd.openxmlformats-officedocument.spreadsheetml.table+xml"/>
  <Override PartName="/xl/worksheets/sheet34.xml" ContentType="application/vnd.openxmlformats-officedocument.spreadsheetml.worksheet+xml"/>
  <Override PartName="/xl/tables/table18.xml" ContentType="application/vnd.openxmlformats-officedocument.spreadsheetml.table+xml"/>
  <Override PartName="/xl/worksheets/sheet35.xml" ContentType="application/vnd.openxmlformats-officedocument.spreadsheetml.worksheet+xml"/>
  <Override PartName="/xl/worksheets/sheet36.xml" ContentType="application/vnd.openxmlformats-officedocument.spreadsheetml.worksheet+xml"/>
  <Override PartName="/xl/tables/table19.xml" ContentType="application/vnd.openxmlformats-officedocument.spreadsheetml.table+xml"/>
  <Override PartName="/xl/worksheets/sheet37.xml" ContentType="application/vnd.openxmlformats-officedocument.spreadsheetml.worksheet+xml"/>
  <Override PartName="/xl/tables/table20.xml" ContentType="application/vnd.openxmlformats-officedocument.spreadsheetml.table+xml"/>
  <Override PartName="/xl/worksheets/sheet38.xml" ContentType="application/vnd.openxmlformats-officedocument.spreadsheetml.worksheet+xml"/>
  <Override PartName="/xl/tables/table21.xml" ContentType="application/vnd.openxmlformats-officedocument.spreadsheetml.table+xml"/>
  <Override PartName="/xl/worksheets/sheet39.xml" ContentType="application/vnd.openxmlformats-officedocument.spreadsheetml.worksheet+xml"/>
  <Override PartName="/xl/tables/table22.xml" ContentType="application/vnd.openxmlformats-officedocument.spreadsheetml.table+xml"/>
  <Override PartName="/xl/worksheets/sheet40.xml" ContentType="application/vnd.openxmlformats-officedocument.spreadsheetml.worksheet+xml"/>
  <Override PartName="/xl/tables/table23.xml" ContentType="application/vnd.openxmlformats-officedocument.spreadsheetml.table+xml"/>
  <Override PartName="/xl/worksheets/sheet41.xml" ContentType="application/vnd.openxmlformats-officedocument.spreadsheetml.worksheet+xml"/>
  <Override PartName="/xl/worksheets/sheet42.xml" ContentType="application/vnd.openxmlformats-officedocument.spreadsheetml.worksheet+xml"/>
  <Override PartName="/xl/tables/table24.xml" ContentType="application/vnd.openxmlformats-officedocument.spreadsheetml.table+xml"/>
  <Override PartName="/xl/worksheets/sheet43.xml" ContentType="application/vnd.openxmlformats-officedocument.spreadsheetml.worksheet+xml"/>
  <Override PartName="/xl/tables/table25.xml" ContentType="application/vnd.openxmlformats-officedocument.spreadsheetml.table+xml"/>
  <Override PartName="/xl/worksheets/sheet44.xml" ContentType="application/vnd.openxmlformats-officedocument.spreadsheetml.worksheet+xml"/>
  <Override PartName="/xl/tables/table26.xml" ContentType="application/vnd.openxmlformats-officedocument.spreadsheetml.table+xml"/>
  <Override PartName="/xl/worksheets/sheet45.xml" ContentType="application/vnd.openxmlformats-officedocument.spreadsheetml.worksheet+xml"/>
  <Override PartName="/xl/tables/table27.xml" ContentType="application/vnd.openxmlformats-officedocument.spreadsheetml.table+xml"/>
  <Override PartName="/xl/worksheets/sheet46.xml" ContentType="application/vnd.openxmlformats-officedocument.spreadsheetml.worksheet+xml"/>
  <Override PartName="/xl/tables/table28.xml" ContentType="application/vnd.openxmlformats-officedocument.spreadsheetml.table+xml"/>
  <Override PartName="/xl/worksheets/sheet47.xml" ContentType="application/vnd.openxmlformats-officedocument.spreadsheetml.worksheet+xml"/>
  <Override PartName="/xl/tables/table29.xml" ContentType="application/vnd.openxmlformats-officedocument.spreadsheetml.table+xml"/>
  <Override PartName="/xl/worksheets/sheet48.xml" ContentType="application/vnd.openxmlformats-officedocument.spreadsheetml.worksheet+xml"/>
  <Override PartName="/xl/tables/table30.xml" ContentType="application/vnd.openxmlformats-officedocument.spreadsheetml.table+xml"/>
  <Override PartName="/xl/worksheets/sheet49.xml" ContentType="application/vnd.openxmlformats-officedocument.spreadsheetml.worksheet+xml"/>
  <Override PartName="/xl/tables/table31.xml" ContentType="application/vnd.openxmlformats-officedocument.spreadsheetml.table+xml"/>
  <Override PartName="/xl/worksheets/sheet50.xml" ContentType="application/vnd.openxmlformats-officedocument.spreadsheetml.worksheet+xml"/>
  <Override PartName="/xl/tables/table32.xml" ContentType="application/vnd.openxmlformats-officedocument.spreadsheetml.table+xml"/>
  <Override PartName="/xl/worksheets/sheet51.xml" ContentType="application/vnd.openxmlformats-officedocument.spreadsheetml.worksheet+xml"/>
  <Override PartName="/xl/tables/table33.xml" ContentType="application/vnd.openxmlformats-officedocument.spreadsheetml.table+xml"/>
  <Override PartName="/xl/worksheets/sheet52.xml" ContentType="application/vnd.openxmlformats-officedocument.spreadsheetml.worksheet+xml"/>
  <Override PartName="/xl/tables/table34.xml" ContentType="application/vnd.openxmlformats-officedocument.spreadsheetml.table+xml"/>
  <Override PartName="/xl/worksheets/sheet5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a076ef6fcc3490e" /></Relationships>
</file>

<file path=xl/workbook.xml><?xml version="1.0" encoding="utf-8"?>
<x:workbook xmlns:x="http://schemas.openxmlformats.org/spreadsheetml/2006/main">
  <x:sheets>
    <x:sheet xmlns:r="http://schemas.openxmlformats.org/officeDocument/2006/relationships" name="Overview" sheetId="1" r:id="Rc2bb26b13ac14354"/>
    <x:sheet xmlns:r="http://schemas.openxmlformats.org/officeDocument/2006/relationships" name="Traceability" sheetId="2" r:id="Re80a2795e9044876"/>
    <x:sheet xmlns:r="http://schemas.openxmlformats.org/officeDocument/2006/relationships" name="Surface Coverage" sheetId="3" r:id="R37c0dc88da2c4fc5"/>
    <x:sheet xmlns:r="http://schemas.openxmlformats.org/officeDocument/2006/relationships" name="Gap Register" sheetId="4" r:id="R8b6aae7345fa4c36"/>
    <x:sheet xmlns:r="http://schemas.openxmlformats.org/officeDocument/2006/relationships" name="Decision Register" sheetId="5" r:id="R25c8517bff004a92"/>
    <x:sheet xmlns:r="http://schemas.openxmlformats.org/officeDocument/2006/relationships" name="Scenario Coverage" sheetId="6" r:id="Ra8d3ff5541084206"/>
    <x:sheet xmlns:r="http://schemas.openxmlformats.org/officeDocument/2006/relationships" name="Taxonomy" sheetId="7" r:id="Ra6e073bf79a04e18"/>
    <x:sheet xmlns:r="http://schemas.openxmlformats.org/officeDocument/2006/relationships" name="B4 Acceptance" sheetId="8" r:id="Re61be84021674ba9"/>
    <x:sheet xmlns:r="http://schemas.openxmlformats.org/officeDocument/2006/relationships" name="C1 Contract Overview" sheetId="9" r:id="R206502bfc1524867"/>
    <x:sheet xmlns:r="http://schemas.openxmlformats.org/officeDocument/2006/relationships" name="C1 Contract Matrix" sheetId="10" r:id="Re1961257ff284921"/>
    <x:sheet xmlns:r="http://schemas.openxmlformats.org/officeDocument/2006/relationships" name="C1 Fixture Coverage" sheetId="11" r:id="R0171234722974e17"/>
    <x:sheet xmlns:r="http://schemas.openxmlformats.org/officeDocument/2006/relationships" name="C1 Outcome Taxonomy" sheetId="12" r:id="R6e81be9829854125"/>
    <x:sheet xmlns:r="http://schemas.openxmlformats.org/officeDocument/2006/relationships" name="C2 Contract Overview" sheetId="13" r:id="R7ec0e2bf87d64dab"/>
    <x:sheet xmlns:r="http://schemas.openxmlformats.org/officeDocument/2006/relationships" name="C2 Contract Matrix" sheetId="14" r:id="Rfdf29a5583b24678"/>
    <x:sheet xmlns:r="http://schemas.openxmlformats.org/officeDocument/2006/relationships" name="C2 Fixture Coverage" sheetId="15" r:id="R75d8a9d9c80d4cb0"/>
    <x:sheet xmlns:r="http://schemas.openxmlformats.org/officeDocument/2006/relationships" name="C2 System Boundaries" sheetId="16" r:id="R337238ff176e40cd"/>
    <x:sheet xmlns:r="http://schemas.openxmlformats.org/officeDocument/2006/relationships" name="C3 Contract Overview" sheetId="17" r:id="R2157c25db21f429c"/>
    <x:sheet xmlns:r="http://schemas.openxmlformats.org/officeDocument/2006/relationships" name="C3 Contract Matrix" sheetId="18" r:id="R339d4c9c8a0b4b9c"/>
    <x:sheet xmlns:r="http://schemas.openxmlformats.org/officeDocument/2006/relationships" name="C3 Fixture Coverage" sheetId="19" r:id="R304e61f7c1554aa6"/>
    <x:sheet xmlns:r="http://schemas.openxmlformats.org/officeDocument/2006/relationships" name="C3 Async Media Boundaries" sheetId="20" r:id="Rfd78b9b61e2f4154"/>
    <x:sheet xmlns:r="http://schemas.openxmlformats.org/officeDocument/2006/relationships" name="C4 Gate Overview" sheetId="21" r:id="R7f9a65292da64589"/>
    <x:sheet xmlns:r="http://schemas.openxmlformats.org/officeDocument/2006/relationships" name="C4 Scenario Closure" sheetId="22" r:id="R4b418e979eb24ff4"/>
    <x:sheet xmlns:r="http://schemas.openxmlformats.org/officeDocument/2006/relationships" name="C4 Component Closure" sheetId="23" r:id="Re8bc24831ed641f0"/>
    <x:sheet xmlns:r="http://schemas.openxmlformats.org/officeDocument/2006/relationships" name="C4 Implementation Backlog" sheetId="24" r:id="R770169bd190c4a4a"/>
    <x:sheet xmlns:r="http://schemas.openxmlformats.org/officeDocument/2006/relationships" name="C4 Dependency Map" sheetId="25" r:id="Ra3208d5f06ec4a19"/>
    <x:sheet xmlns:r="http://schemas.openxmlformats.org/officeDocument/2006/relationships" name="C4 CI Release Gates" sheetId="26" r:id="R39d85683e6a044b7"/>
    <x:sheet xmlns:r="http://schemas.openxmlformats.org/officeDocument/2006/relationships" name="C4 Authorization Gate" sheetId="27" r:id="Ra723264e496b4884"/>
    <x:sheet xmlns:r="http://schemas.openxmlformats.org/officeDocument/2006/relationships" name="UI01 Library Overview" sheetId="28" r:id="R525838d133a64308"/>
    <x:sheet xmlns:r="http://schemas.openxmlformats.org/officeDocument/2006/relationships" name="UI01 Component Inventory" sheetId="29" r:id="Rfb1e9fe7b5dc4fe4"/>
    <x:sheet xmlns:r="http://schemas.openxmlformats.org/officeDocument/2006/relationships" name="UI01 Token State Map" sheetId="30" r:id="Rd9456eda2ed44f6c"/>
    <x:sheet xmlns:r="http://schemas.openxmlformats.org/officeDocument/2006/relationships" name="UI02 Screen Overview" sheetId="31" r:id="R50ef89e565054eff"/>
    <x:sheet xmlns:r="http://schemas.openxmlformats.org/officeDocument/2006/relationships" name="UI02 Screen Inventory" sheetId="32" r:id="Rc41d35cc12234bc8"/>
    <x:sheet xmlns:r="http://schemas.openxmlformats.org/officeDocument/2006/relationships" name="UI02 State Coverage" sheetId="33" r:id="Rdaed18858da2421d"/>
    <x:sheet xmlns:r="http://schemas.openxmlformats.org/officeDocument/2006/relationships" name="UI02 Scenario Coverage" sheetId="34" r:id="R1d835ca845d14ca6"/>
    <x:sheet xmlns:r="http://schemas.openxmlformats.org/officeDocument/2006/relationships" name="UI03 Asset Overview" sheetId="35" r:id="Rf99c2737432c41a8"/>
    <x:sheet xmlns:r="http://schemas.openxmlformats.org/officeDocument/2006/relationships" name="UI03 Asset Register" sheetId="36" r:id="Rcfe9a5513c6c4c87"/>
    <x:sheet xmlns:r="http://schemas.openxmlformats.org/officeDocument/2006/relationships" name="UI03 Reference Assets" sheetId="37" r:id="R98288d5dc48c4841"/>
    <x:sheet xmlns:r="http://schemas.openxmlformats.org/officeDocument/2006/relationships" name="UI03 Icon Catalog" sheetId="38" r:id="R794bc7498b8f489e"/>
    <x:sheet xmlns:r="http://schemas.openxmlformats.org/officeDocument/2006/relationships" name="UI03 Screen Placement" sheetId="39" r:id="Rcf83d83fa5cb4f5b"/>
    <x:sheet xmlns:r="http://schemas.openxmlformats.org/officeDocument/2006/relationships" name="UI03 Production Waves" sheetId="40" r:id="R6602424aba0848f1"/>
    <x:sheet xmlns:r="http://schemas.openxmlformats.org/officeDocument/2006/relationships" name="UI04 Architecture Overview" sheetId="41" r:id="R4210265e17574699"/>
    <x:sheet xmlns:r="http://schemas.openxmlformats.org/officeDocument/2006/relationships" name="UI04 Decisions" sheetId="42" r:id="R3bd6e503d0414a1f"/>
    <x:sheet xmlns:r="http://schemas.openxmlformats.org/officeDocument/2006/relationships" name="UI04 Layer Ownership" sheetId="43" r:id="Rb0d7d6376cec4684"/>
    <x:sheet xmlns:r="http://schemas.openxmlformats.org/officeDocument/2006/relationships" name="UI04 Route Composition" sheetId="44" r:id="Rd4b3b27f45694627"/>
    <x:sheet xmlns:r="http://schemas.openxmlformats.org/officeDocument/2006/relationships" name="UI04 State Machines" sheetId="45" r:id="Rd95a9c541a04442b"/>
    <x:sheet xmlns:r="http://schemas.openxmlformats.org/officeDocument/2006/relationships" name="UI04 Port Matrix" sheetId="46" r:id="R84bae1ac70f247da"/>
    <x:sheet xmlns:r="http://schemas.openxmlformats.org/officeDocument/2006/relationships" name="UI04 Operation Assignments" sheetId="47" r:id="R2c77bc49f0b144b3"/>
    <x:sheet xmlns:r="http://schemas.openxmlformats.org/officeDocument/2006/relationships" name="UI04 Component Ownership" sheetId="48" r:id="R5af2e54ab969429f"/>
    <x:sheet xmlns:r="http://schemas.openxmlformats.org/officeDocument/2006/relationships" name="UI04 Scenario Trace" sheetId="49" r:id="R6e9901fcb8e24087"/>
    <x:sheet xmlns:r="http://schemas.openxmlformats.org/officeDocument/2006/relationships" name="UI04 Test Gates" sheetId="50" r:id="Rd4cac15b4cb84ff2"/>
    <x:sheet xmlns:r="http://schemas.openxmlformats.org/officeDocument/2006/relationships" name="UI04 Execution Plan" sheetId="51" r:id="R8f9744897ed74c00"/>
    <x:sheet xmlns:r="http://schemas.openxmlformats.org/officeDocument/2006/relationships" name="UI04 Data Ownership" sheetId="52" r:id="R2041081d81fc441f"/>
    <x:sheet xmlns:r="http://schemas.openxmlformats.org/officeDocument/2006/relationships" name="Implementation Handoff" sheetId="53" r:id="R40bb05efa5a3457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5">
    <x:font>
      <x:sz val="11"/>
      <x:name val="Carlito"/>
    </x:font>
    <x:font>
      <x:b/>
      <x:sz val="11"/>
      <x:color rgb="FFFFFFFF"/>
      <x:name val="Carlito"/>
    </x:font>
    <x:font>
      <x:sz val="11"/>
      <x:color rgb="FF102A36"/>
      <x:name val="Carlito"/>
    </x:font>
    <x:font>
      <x:b/>
      <x:sz val="18"/>
      <x:color rgb="FFFFFFFF"/>
      <x:name val="Carlito"/>
    </x:font>
    <x:font>
      <x:i/>
      <x:sz val="10"/>
      <x:color rgb="FFDCECEF"/>
      <x:name val="Carlito"/>
    </x:font>
    <x:font>
      <x:sz val="10"/>
      <x:color rgb="FF102A36"/>
      <x:name val="Carlito"/>
    </x:font>
    <x:font>
      <x:b/>
      <x:sz val="9"/>
      <x:color rgb="FFFFFFFF"/>
      <x:name val="Carlito"/>
    </x:font>
    <x:font>
      <x:sz val="9"/>
      <x:color rgb="FF102A36"/>
      <x:name val="Carlito"/>
    </x:font>
    <x:font>
      <x:i/>
      <x:sz val="11"/>
      <x:color rgb="FF102A36"/>
      <x:name val="Carlito"/>
    </x:font>
    <x:font>
      <x:b/>
      <x:sz val="20"/>
      <x:color rgb="FFFFFFFF"/>
      <x:name val="Carlito"/>
    </x:font>
    <x:font>
      <x:b/>
      <x:sz val="14"/>
      <x:color rgb="FFDCECEF"/>
      <x:name val="Carlito"/>
    </x:font>
    <x:font>
      <x:b/>
      <x:sz val="11"/>
      <x:color rgb="FF102A36"/>
      <x:name val="Carlito"/>
    </x:font>
    <x:font>
      <x:b/>
      <x:sz val="14"/>
      <x:color rgb="FF102A36"/>
      <x:name val="Carlito"/>
    </x:font>
    <x:font>
      <x:b/>
      <x:sz val="20"/>
      <x:color rgb="FFFFFFFF"/>
      <x:name val="Aptos"/>
    </x:font>
    <x:font>
      <x:b/>
      <x:sz val="14"/>
      <x:color rgb="FFDCECEF"/>
      <x:name val="Aptos"/>
    </x:font>
    <x:font>
      <x:sz val="11"/>
      <x:name val="Aptos"/>
    </x:font>
    <x:font>
      <x:b/>
      <x:sz val="11"/>
      <x:color rgb="FF102A36"/>
      <x:name val="Aptos"/>
    </x:font>
    <x:font>
      <x:sz val="11"/>
      <x:color rgb="FF102A36"/>
      <x:name val="Aptos"/>
    </x:font>
    <x:font>
      <x:b/>
      <x:sz val="11"/>
      <x:color rgb="FFFFFFFF"/>
      <x:name val="Aptos"/>
    </x:font>
    <x:font>
      <x:b/>
      <x:sz val="14"/>
      <x:color rgb="FF102A36"/>
      <x:name val="Aptos"/>
    </x:font>
    <x:font>
      <x:b/>
      <x:sz val="18"/>
      <x:color rgb="FFFFFFFF"/>
      <x:name val="Aptos"/>
    </x:font>
    <x:font>
      <x:i/>
      <x:sz val="10"/>
      <x:color rgb="FFDCECEF"/>
      <x:name val="Aptos"/>
    </x:font>
    <x:font>
      <x:sz val="10"/>
      <x:color rgb="FF102A36"/>
      <x:name val="Aptos"/>
    </x:font>
    <x:font>
      <x:b/>
      <x:sz val="9"/>
      <x:color rgb="FFFFFFFF"/>
      <x:name val="Aptos"/>
    </x:font>
    <x:font>
      <x:sz val="9"/>
      <x:color rgb="FF102A36"/>
      <x:name val="Aptos"/>
    </x:font>
    <x:font>
      <x:i/>
      <x:sz val="11"/>
      <x:color rgb="FF102A36"/>
      <x:name val="Aptos"/>
    </x:font>
    <x:font>
      <x:b/>
      <x:sz val="10"/>
      <x:color rgb="FF102A36"/>
      <x:name val="Aptos"/>
    </x:font>
    <x:font>
      <x:b/>
      <x:sz val="11"/>
      <x:color rgb="FFDCECEF"/>
      <x:name val="Carlito"/>
    </x:font>
    <x:font>
      <x:b/>
      <x:sz val="11"/>
      <x:color rgb="FF1F6B73"/>
      <x:name val="Carlito"/>
    </x:font>
    <x:font>
      <x:b/>
      <x:sz val="11"/>
      <x:color rgb="FF2F6F52"/>
      <x:name val="Carlito"/>
    </x:font>
    <x:font>
      <x:b/>
      <x:sz val="11"/>
      <x:color rgb="FF9F2E2E"/>
      <x:name val="Carlito"/>
    </x:font>
    <x:font>
      <x:b/>
      <x:sz val="11"/>
      <x:color rgb="FF23623B"/>
      <x:name val="Carlito"/>
    </x:font>
    <x:font>
      <x:b/>
      <x:sz val="11"/>
      <x:color rgb="FF27663D"/>
      <x:name val="Carlito"/>
    </x:font>
    <x:font>
      <x:b/>
      <x:sz val="11"/>
      <x:color rgb="FF24613A"/>
      <x:name val="Carlito"/>
    </x:font>
    <x:font>
      <x:b/>
      <x:sz val="11"/>
      <x:color rgb="FFA92E2E"/>
      <x:name val="Carlito"/>
    </x:font>
  </x:fonts>
  <x:fills count="120">
    <x:fill>
      <x:patternFill patternType="none"/>
    </x:fill>
    <x:fill>
      <x:patternFill patternType="gray125"/>
    </x:fill>
    <x:fill>
      <x:patternFill patternType="solid">
        <x:fgColor rgb="FF173E4F"/>
      </x:patternFill>
    </x:fill>
    <x:fill>
      <x:patternFill patternType="solid">
        <x:fgColor rgb="FFF4F7F6"/>
      </x:patternFill>
    </x:fill>
    <x:fill>
      <x:patternFill patternType="solid">
        <x:fgColor rgb="FF1F6B73"/>
      </x:patternFill>
    </x:fill>
    <x:fill>
      <x:patternFill patternType="solid">
        <x:fgColor rgb="FF102A36"/>
      </x:patternFill>
    </x:fill>
    <x:fill>
      <x:patternFill patternType="solid">
        <x:fgColor rgb="FFDCECEF"/>
      </x:patternFill>
    </x:fill>
    <x:fill>
      <x:patternFill patternType="solid">
        <x:fgColor rgb="FFF26A3D"/>
      </x:patternFill>
    </x:fill>
    <x:fill>
      <x:patternFill patternType="solid">
        <x:fgColor rgb="FFFCE8DE"/>
      </x:patternFill>
    </x:fill>
    <x:fill>
      <x:patternFill patternType="solid">
        <x:fgColor rgb="FFC94C4C"/>
      </x:patternFill>
    </x:fill>
    <x:fill>
      <x:patternFill patternType="solid">
        <x:fgColor rgb="FFF8E2E2"/>
      </x:patternFill>
    </x:fill>
    <x:fill>
      <x:patternFill patternType="solid">
        <x:fgColor rgb="FFF2C14E"/>
      </x:patternFill>
    </x:fill>
    <x:fill>
      <x:patternFill patternType="solid">
        <x:fgColor rgb="FFFFF6D8"/>
      </x:patternFill>
    </x:fill>
    <x:fill>
      <x:patternFill patternType="solid">
        <x:fgColor rgb="FFDDEDDC"/>
      </x:patternFill>
    </x:fill>
    <x:fill>
      <x:patternFill patternType="solid">
        <x:fgColor rgb="FFFFF2CC"/>
      </x:patternFill>
    </x:fill>
    <x:fill>
      <x:patternFill patternType="solid">
        <x:fgColor rgb="FFDCECEF"/>
      </x:patternFill>
    </x:fill>
    <x:fill>
      <x:patternFill patternType="solid">
        <x:fgColor rgb="FF102A36"/>
      </x:patternFill>
    </x:fill>
    <x:fill>
      <x:patternFill patternType="solid">
        <x:fgColor rgb="FF173E4F"/>
      </x:patternFill>
    </x:fill>
    <x:fill>
      <x:patternFill patternType="solid">
        <x:fgColor rgb="FF1F6B73"/>
      </x:patternFill>
    </x:fill>
    <x:fill>
      <x:patternFill patternType="solid">
        <x:fgColor rgb="FFF4F7F6"/>
      </x:patternFill>
    </x:fill>
    <x:fill>
      <x:patternFill patternType="solid">
        <x:fgColor rgb="FFBFE3F0"/>
      </x:patternFill>
    </x:fill>
    <x:fill>
      <x:patternFill patternType="solid">
        <x:fgColor rgb="FFFFFFFF"/>
      </x:patternFill>
    </x:fill>
    <x:fill>
      <x:patternFill patternType="solid">
        <x:fgColor rgb="FFFCE8DE"/>
      </x:patternFill>
    </x:fill>
    <x:fill>
      <x:patternFill patternType="solid">
        <x:fgColor rgb="FFFFF7E1"/>
      </x:patternFill>
    </x:fill>
    <x:fill>
      <x:patternFill patternType="solid">
        <x:fgColor rgb="FFF26A3D"/>
      </x:patternFill>
    </x:fill>
    <x:fill>
      <x:patternFill patternType="solid">
        <x:fgColor rgb="FFBFE4F2"/>
      </x:patternFill>
    </x:fill>
    <x:fill>
      <x:patternFill patternType="solid">
        <x:fgColor rgb="FFF4F7F6"/>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36C3D"/>
      </x:patternFill>
    </x:fill>
    <x:fill>
      <x:patternFill patternType="solid">
        <x:fgColor rgb="FFDCEEDC"/>
      </x:patternFill>
    </x:fill>
    <x:fill>
      <x:patternFill patternType="solid">
        <x:fgColor rgb="FF1F6B73"/>
      </x:patternFill>
    </x:fill>
    <x:fill>
      <x:patternFill patternType="solid">
        <x:fgColor rgb="FFF9C74F"/>
      </x:patternFill>
    </x:fill>
    <x:fill>
      <x:patternFill patternType="solid">
        <x:fgColor rgb="FFFFF2C8"/>
      </x:patternFill>
    </x:fill>
    <x:fill>
      <x:patternFill patternType="solid">
        <x:fgColor rgb="FFDCEEDC"/>
      </x:patternFill>
    </x:fill>
    <x:fill>
      <x:patternFill patternType="solid">
        <x:fgColor rgb="FFF4F7F6"/>
      </x:patternFill>
    </x:fill>
    <x:fill>
      <x:patternFill patternType="solid">
        <x:fgColor rgb="FFBFE4F2"/>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36C3D"/>
      </x:patternFill>
    </x:fill>
    <x:fill>
      <x:patternFill patternType="solid">
        <x:fgColor rgb="FF1F6B73"/>
      </x:patternFill>
    </x:fill>
    <x:fill>
      <x:patternFill patternType="solid">
        <x:fgColor rgb="FFF9C74F"/>
      </x:patternFill>
    </x:fill>
    <x:fill>
      <x:patternFill patternType="solid">
        <x:fgColor rgb="FFFFF2C8"/>
      </x:patternFill>
    </x:fill>
    <x:fill>
      <x:patternFill patternType="solid">
        <x:fgColor rgb="FFE3F1EA"/>
      </x:patternFill>
    </x:fill>
    <x:fill>
      <x:patternFill patternType="solid">
        <x:fgColor rgb="FF2F6F52"/>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4F7F6"/>
      </x:patternFill>
    </x:fill>
    <x:fill>
      <x:patternFill patternType="solid">
        <x:fgColor rgb="FFF26A3D"/>
      </x:patternFill>
    </x:fill>
    <x:fill>
      <x:patternFill patternType="solid">
        <x:fgColor rgb="FFFCE8DE"/>
      </x:patternFill>
    </x:fill>
    <x:fill>
      <x:patternFill patternType="solid">
        <x:fgColor rgb="FF1F6B73"/>
      </x:patternFill>
    </x:fill>
    <x:fill>
      <x:patternFill patternType="solid">
        <x:fgColor rgb="FFFFFFFF"/>
      </x:patternFill>
    </x:fill>
    <x:fill>
      <x:patternFill patternType="solid">
        <x:fgColor rgb="FFFFF5EF"/>
      </x:patternFill>
    </x:fill>
    <x:fill>
      <x:patternFill patternType="solid">
        <x:fgColor rgb="FFDCEEDC"/>
      </x:patternFill>
    </x:fill>
    <x:fill>
      <x:patternFill patternType="solid">
        <x:fgColor rgb="FF23623B"/>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4F7F6"/>
      </x:patternFill>
    </x:fill>
    <x:fill>
      <x:patternFill patternType="solid">
        <x:fgColor rgb="FFF4D9D9"/>
      </x:patternFill>
    </x:fill>
    <x:fill>
      <x:patternFill patternType="solid">
        <x:fgColor rgb="FFF36C3D"/>
      </x:patternFill>
    </x:fill>
    <x:fill>
      <x:patternFill patternType="solid">
        <x:fgColor rgb="FFFCE5DA"/>
      </x:patternFill>
    </x:fill>
    <x:fill>
      <x:patternFill patternType="solid">
        <x:fgColor rgb="FF1F6B73"/>
      </x:patternFill>
    </x:fill>
    <x:fill>
      <x:patternFill patternType="solid">
        <x:fgColor rgb="FFBFE4F2"/>
      </x:patternFill>
    </x:fill>
    <x:fill>
      <x:patternFill patternType="solid">
        <x:fgColor rgb="FF9F2E2E"/>
      </x:patternFill>
    </x:fill>
    <x:fill>
      <x:patternFill patternType="solid">
        <x:fgColor rgb="FFF9C74F"/>
      </x:patternFill>
    </x:fill>
    <x:fill>
      <x:patternFill patternType="solid">
        <x:fgColor rgb="FFFFF2C8"/>
      </x:patternFill>
    </x:fill>
    <x:fill>
      <x:patternFill patternType="solid">
        <x:fgColor rgb="FFDCEEDC"/>
      </x:patternFill>
    </x:fill>
    <x:fill>
      <x:patternFill patternType="solid">
        <x:fgColor rgb="FFFFF2C8"/>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4F7F6"/>
      </x:patternFill>
    </x:fill>
    <x:fill>
      <x:patternFill patternType="solid">
        <x:fgColor rgb="FFF36C3D"/>
      </x:patternFill>
    </x:fill>
    <x:fill>
      <x:patternFill patternType="solid">
        <x:fgColor rgb="FF1F6B73"/>
      </x:patternFill>
    </x:fill>
    <x:fill>
      <x:patternFill patternType="solid">
        <x:fgColor rgb="FFBFE4F2"/>
      </x:patternFill>
    </x:fill>
    <x:fill>
      <x:patternFill patternType="solid">
        <x:fgColor rgb="FFF9C74F"/>
      </x:patternFill>
    </x:fill>
    <x:fill>
      <x:patternFill patternType="solid">
        <x:fgColor rgb="FFDCEEDC"/>
      </x:patternFill>
    </x:fill>
    <x:fill>
      <x:patternFill patternType="solid">
        <x:fgColor rgb="FFFFF2C8"/>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4F7F6"/>
      </x:patternFill>
    </x:fill>
    <x:fill>
      <x:patternFill patternType="solid">
        <x:fgColor rgb="FFF36C3D"/>
      </x:patternFill>
    </x:fill>
    <x:fill>
      <x:patternFill patternType="solid">
        <x:fgColor rgb="FF1F6B73"/>
      </x:patternFill>
    </x:fill>
    <x:fill>
      <x:patternFill patternType="solid">
        <x:fgColor rgb="FFBFE4F2"/>
      </x:patternFill>
    </x:fill>
    <x:fill>
      <x:patternFill patternType="solid">
        <x:fgColor rgb="FFF9C74F"/>
      </x:patternFill>
    </x:fill>
    <x:fill>
      <x:patternFill patternType="solid">
        <x:fgColor rgb="FFDCEEDC"/>
      </x:patternFill>
    </x:fill>
    <x:fill>
      <x:patternFill patternType="solid">
        <x:fgColor rgb="FFFFF2C8"/>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4F7F6"/>
      </x:patternFill>
    </x:fill>
    <x:fill>
      <x:patternFill patternType="solid">
        <x:fgColor rgb="FFF36C3D"/>
      </x:patternFill>
    </x:fill>
    <x:fill>
      <x:patternFill patternType="solid">
        <x:fgColor rgb="FF1F6B73"/>
      </x:patternFill>
    </x:fill>
    <x:fill>
      <x:patternFill patternType="solid">
        <x:fgColor rgb="FFBFE4F2"/>
      </x:patternFill>
    </x:fill>
    <x:fill>
      <x:patternFill patternType="solid">
        <x:fgColor rgb="FFF9C74F"/>
      </x:patternFill>
    </x:fill>
    <x:fill>
      <x:patternFill patternType="solid">
        <x:fgColor rgb="FFDCEEDC"/>
      </x:patternFill>
    </x:fill>
    <x:fill>
      <x:patternFill patternType="solid">
        <x:fgColor rgb="FFFFF2C8"/>
      </x:patternFill>
    </x:fill>
    <x:fill>
      <x:patternFill patternType="solid">
        <x:fgColor rgb="FFF4D9D9"/>
      </x:patternFill>
    </x:fill>
    <x:fill>
      <x:patternFill patternType="solid">
        <x:fgColor rgb="FF102A36"/>
      </x:patternFill>
    </x:fill>
    <x:fill>
      <x:patternFill patternType="solid">
        <x:fgColor rgb="FF173E4F"/>
      </x:patternFill>
    </x:fill>
    <x:fill>
      <x:patternFill patternType="solid">
        <x:fgColor rgb="FFDCECEF"/>
      </x:patternFill>
    </x:fill>
    <x:fill>
      <x:patternFill patternType="solid">
        <x:fgColor rgb="FFF4F7F6"/>
      </x:patternFill>
    </x:fill>
    <x:fill>
      <x:patternFill patternType="solid">
        <x:fgColor rgb="FFF36C3D"/>
      </x:patternFill>
    </x:fill>
    <x:fill>
      <x:patternFill patternType="solid">
        <x:fgColor rgb="FF1F6B73"/>
      </x:patternFill>
    </x:fill>
    <x:fill>
      <x:patternFill patternType="solid">
        <x:fgColor rgb="FFBFE4F2"/>
      </x:patternFill>
    </x:fill>
    <x:fill>
      <x:patternFill patternType="solid">
        <x:fgColor rgb="FFF9C74F"/>
      </x:patternFill>
    </x:fill>
    <x:fill>
      <x:patternFill patternType="solid">
        <x:fgColor rgb="FFDCEEDC"/>
      </x:patternFill>
    </x:fill>
    <x:fill>
      <x:patternFill patternType="solid">
        <x:fgColor rgb="FFFFF2C8"/>
      </x:patternFill>
    </x:fill>
    <x:fill>
      <x:patternFill patternType="solid">
        <x:fgColor rgb="FFF4F7F6"/>
      </x:patternFill>
    </x:fill>
    <x:fill>
      <x:patternFill patternType="solid">
        <x:fgColor rgb="FF102A36"/>
      </x:patternFill>
    </x:fill>
    <x:fill>
      <x:patternFill patternType="solid">
        <x:fgColor rgb="FF173E4F"/>
      </x:patternFill>
    </x:fill>
    <x:fill>
      <x:patternFill patternType="solid">
        <x:fgColor rgb="FF1F6B73"/>
      </x:patternFill>
    </x:fill>
    <x:fill>
      <x:patternFill patternType="solid">
        <x:fgColor rgb="FFDCECEF"/>
      </x:patternFill>
    </x:fill>
    <x:fill>
      <x:patternFill patternType="solid">
        <x:fgColor rgb="FFF4D9D9"/>
      </x:patternFill>
    </x:fill>
    <x:fill>
      <x:patternFill patternType="solid">
        <x:fgColor rgb="FFF9C74F"/>
      </x:patternFill>
    </x:fill>
  </x:fills>
  <x:borders count="17">
    <x:border/>
    <x:border>
      <x:bottom style="thin">
        <x:color rgb="FFC6D4D8"/>
      </x:bottom>
    </x:border>
    <x:border>
      <x:top style="thin">
        <x:color rgb="FFC6D4D8"/>
      </x:top>
      <x:bottom style="thin">
        <x:color rgb="FFC6D4D8"/>
      </x:bottom>
    </x:border>
    <x:border>
      <x:top style="thin">
        <x:color rgb="FFC6D4D8"/>
      </x:top>
    </x:border>
    <x:border>
      <x:right style="thin">
        <x:color rgb="FFDCECEF"/>
      </x:right>
    </x:border>
    <x:border>
      <x:left style="thin">
        <x:color rgb="FFDCECEF"/>
      </x:left>
      <x:right style="thin">
        <x:color rgb="FFDCECEF"/>
      </x:right>
    </x:border>
    <x:border>
      <x:left style="thin">
        <x:color rgb="FFDCECEF"/>
      </x:left>
    </x:border>
    <x:border>
      <x:bottom style="thin">
        <x:color rgb="FFE2E9EB"/>
      </x:bottom>
    </x:border>
    <x:border>
      <x:top style="thin">
        <x:color rgb="FFE2E9EB"/>
      </x:top>
      <x:bottom style="thin">
        <x:color rgb="FFE2E9EB"/>
      </x:bottom>
    </x:border>
    <x:border>
      <x:top style="thin">
        <x:color rgb="FFE2E9EB"/>
      </x:top>
    </x:border>
    <x:border>
      <x:right style="thin">
        <x:color rgb="FFC6D4D8"/>
      </x:right>
    </x:border>
    <x:border>
      <x:left style="thin">
        <x:color rgb="FFC6D4D8"/>
      </x:left>
      <x:right style="thin">
        <x:color rgb="FFC6D4D8"/>
      </x:right>
    </x:border>
    <x:border>
      <x:left style="thin">
        <x:color rgb="FFC6D4D8"/>
      </x:left>
    </x:border>
    <x:border>
      <x:bottom style="thin">
        <x:color rgb="FFCAD7DB"/>
      </x:bottom>
    </x:border>
    <x:border>
      <x:top style="thin">
        <x:color rgb="FFCAD7DB"/>
      </x:top>
      <x:bottom style="thin">
        <x:color rgb="FFCAD7DB"/>
      </x:bottom>
    </x:border>
    <x:border>
      <x:top style="thin">
        <x:color rgb="FFCAD7DB"/>
      </x:top>
    </x:border>
    <x:border>
      <x:bottom style="medium">
        <x:color rgb="FF173E4F"/>
      </x:bottom>
    </x:border>
  </x:borders>
  <x:cellStyleXfs count="1">
    <x:xf numFmtId="0" fontId="0" fillId="0" borderId="0"/>
  </x:cellStyleXfs>
  <x:cellXfs count="8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vertical="center"/>
    </x:xf>
    <x:xf numFmtId="0" fontId="4" fillId="2" borderId="0" xfId="0" applyNumberFormat="1" applyFont="1" applyFill="1" applyBorder="1"/>
    <x:xf numFmtId="0" fontId="4" fillId="2" borderId="0" xfId="0" applyNumberFormat="1" applyFont="1" applyFill="1" applyBorder="1" applyAlignment="1">
      <x:alignment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vertical="center"/>
    </x:xf>
    <x:xf numFmtId="0" fontId="6" fillId="4" borderId="0" xfId="0" applyNumberFormat="1" applyFont="1" applyFill="1" applyBorder="1"/>
    <x:xf numFmtId="0" fontId="6" fillId="4" borderId="4"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4"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4" xfId="0" applyNumberFormat="1" applyFont="1" applyFill="1" applyBorder="1" applyAlignment="1">
      <x:alignment vertical="center" wrapText="1"/>
    </x:xf>
    <x:xf numFmtId="0" fontId="6" fillId="4" borderId="5" xfId="0" applyNumberFormat="1" applyFont="1" applyFill="1" applyBorder="1" applyAlignment="1">
      <x:alignment vertical="center" wrapText="1"/>
    </x:xf>
    <x:xf numFmtId="0" fontId="6" fillId="4" borderId="6" xfId="0" applyNumberFormat="1" applyFont="1" applyFill="1" applyBorder="1" applyAlignment="1">
      <x:alignment vertical="center" wrapText="1"/>
    </x:xf>
    <x:xf numFmtId="0" fontId="7" fillId="0" borderId="0" xfId="0" applyNumberFormat="1" applyFont="1" applyFill="1" applyBorder="1"/>
    <x:xf numFmtId="0" fontId="7" fillId="0" borderId="7"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7" xfId="0" applyNumberFormat="1" applyFont="1" applyFill="1" applyBorder="1" applyAlignment="1">
      <x:alignment wrapText="1"/>
    </x:xf>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7"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200" fontId="7" fillId="0" borderId="7" xfId="0" applyNumberFormat="1" applyFont="1" applyFill="1" applyBorder="1" applyAlignment="1">
      <x:alignment vertical="top" wrapText="1"/>
    </x:xf>
    <x:xf numFmtId="200" fontId="7" fillId="0" borderId="8"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0" fontId="8" fillId="6" borderId="0" xfId="0" applyNumberFormat="1" applyFont="1" applyFill="1" applyBorder="1"/>
    <x:xf numFmtId="0" fontId="5" fillId="0" borderId="0" xfId="0" applyNumberFormat="1" applyFont="1" applyFill="1" applyBorder="1"/>
    <x:xf numFmtId="0" fontId="5" fillId="0" borderId="1"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1" xfId="0" applyNumberFormat="1" applyFont="1" applyFill="1" applyBorder="1" applyAlignment="1">
      <x:alignment wrapText="1"/>
    </x:xf>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1" xfId="0" applyNumberFormat="1" applyFont="1" applyFill="1" applyBorder="1" applyAlignment="1">
      <x:alignment vertical="top"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9" fillId="5" borderId="0" xfId="0" applyNumberFormat="1" applyFont="1" applyFill="1" applyBorder="1"/>
    <x:xf numFmtId="0" fontId="9" fillId="5" borderId="0" xfId="0" applyNumberFormat="1" applyFont="1" applyFill="1" applyBorder="1" applyAlignment="1">
      <x:alignment vertical="center"/>
    </x:xf>
    <x:xf numFmtId="0" fontId="10" fillId="2" borderId="0" xfId="0" applyNumberFormat="1" applyFont="1" applyFill="1" applyBorder="1"/>
    <x:xf numFmtId="0" fontId="11" fillId="6" borderId="0" xfId="0" applyNumberFormat="1" applyFont="1" applyFill="1" applyBorder="1"/>
    <x:xf numFmtId="0" fontId="2" fillId="3" borderId="0" xfId="0" applyNumberFormat="1" applyFont="1" applyFill="1" applyBorder="1" applyAlignment="1">
      <x:alignment wrapText="1"/>
    </x:xf>
    <x:xf numFmtId="0" fontId="12" fillId="6" borderId="0" xfId="0" applyNumberFormat="1" applyFont="1" applyFill="1" applyBorder="1"/>
    <x:xf numFmtId="0" fontId="12" fillId="6" borderId="0" xfId="0" applyNumberFormat="1" applyFont="1" applyFill="1" applyBorder="1" applyAlignment="1">
      <x:alignment horizontal="right"/>
    </x:xf>
    <x:xf numFmtId="0" fontId="0" fillId="7" borderId="0" xfId="0" applyNumberFormat="1" applyFont="1" applyFill="1" applyBorder="1"/>
    <x:xf numFmtId="0" fontId="1" fillId="7" borderId="0" xfId="0" applyNumberFormat="1" applyFont="1" applyFill="1" applyBorder="1"/>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vertical="center" wrapText="1"/>
    </x:xf>
    <x:xf numFmtId="0" fontId="0" fillId="9" borderId="0" xfId="0" applyNumberFormat="1" applyFont="1" applyFill="1" applyBorder="1"/>
    <x:xf numFmtId="0" fontId="1" fillId="9" borderId="0" xfId="0" applyNumberFormat="1" applyFont="1" applyFill="1" applyBorder="1"/>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0" fillId="11" borderId="0" xfId="0" applyNumberFormat="1" applyFont="1" applyFill="1" applyBorder="1"/>
    <x:xf numFmtId="0" fontId="11" fillId="11" borderId="0" xfId="0" applyNumberFormat="1" applyFont="1" applyFill="1" applyBorder="1"/>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13" fillId="5" borderId="0" xfId="0" applyNumberFormat="1" applyFont="1" applyFill="1" applyBorder="1" applyAlignment="1">
      <x:alignment vertical="center"/>
    </x:xf>
    <x:xf numFmtId="0" fontId="14" fillId="2" borderId="0" xfId="0" applyNumberFormat="1" applyFont="1" applyFill="1" applyBorder="1"/>
    <x:xf numFmtId="0" fontId="15" fillId="0" borderId="0" xfId="0" applyNumberFormat="1" applyFont="1" applyFill="1" applyBorder="1"/>
    <x:xf numFmtId="0" fontId="16" fillId="6" borderId="0" xfId="0" applyNumberFormat="1" applyFont="1" applyFill="1" applyBorder="1"/>
    <x:xf numFmtId="0" fontId="17" fillId="3" borderId="0" xfId="0" applyNumberFormat="1" applyFont="1" applyFill="1" applyBorder="1" applyAlignment="1">
      <x:alignment wrapText="1"/>
    </x:xf>
    <x:xf numFmtId="0" fontId="18" fillId="7" borderId="0" xfId="0" applyNumberFormat="1" applyFont="1" applyFill="1" applyBorder="1"/>
    <x:xf numFmtId="0" fontId="17" fillId="8" borderId="0" xfId="0" applyNumberFormat="1" applyFont="1" applyFill="1" applyBorder="1" applyAlignment="1">
      <x:alignment vertical="center" wrapText="1"/>
    </x:xf>
    <x:xf numFmtId="0" fontId="18" fillId="4" borderId="0" xfId="0" applyNumberFormat="1" applyFont="1" applyFill="1" applyBorder="1"/>
    <x:xf numFmtId="0" fontId="17" fillId="3" borderId="0" xfId="0" applyNumberFormat="1" applyFont="1" applyFill="1" applyBorder="1"/>
    <x:xf numFmtId="0" fontId="19" fillId="6" borderId="0" xfId="0" applyNumberFormat="1" applyFont="1" applyFill="1" applyBorder="1" applyAlignment="1">
      <x:alignment horizontal="right"/>
    </x:xf>
    <x:xf numFmtId="0" fontId="18" fillId="9" borderId="0" xfId="0" applyNumberFormat="1" applyFont="1" applyFill="1" applyBorder="1"/>
    <x:xf numFmtId="0" fontId="17" fillId="10" borderId="0" xfId="0" applyNumberFormat="1" applyFont="1" applyFill="1" applyBorder="1" applyAlignment="1">
      <x:alignment vertical="top" wrapText="1"/>
    </x:xf>
    <x:xf numFmtId="0" fontId="17" fillId="3" borderId="0" xfId="0" applyNumberFormat="1" applyFont="1" applyFill="1" applyBorder="1" applyAlignment="1">
      <x:alignment vertical="top" wrapText="1"/>
    </x:xf>
    <x:xf numFmtId="0" fontId="16" fillId="11" borderId="0" xfId="0" applyNumberFormat="1" applyFont="1" applyFill="1" applyBorder="1"/>
    <x:xf numFmtId="0" fontId="17" fillId="12" borderId="0" xfId="0" applyNumberFormat="1" applyFont="1" applyFill="1" applyBorder="1" applyAlignment="1">
      <x:alignment vertical="center" wrapText="1"/>
    </x:xf>
    <x:xf numFmtId="0" fontId="20" fillId="5" borderId="0" xfId="0" applyNumberFormat="1" applyFont="1" applyFill="1" applyBorder="1" applyAlignment="1">
      <x:alignment vertical="center"/>
    </x:xf>
    <x:xf numFmtId="0" fontId="21" fillId="2" borderId="0" xfId="0" applyNumberFormat="1" applyFont="1" applyFill="1" applyBorder="1" applyAlignment="1">
      <x:alignment vertical="center"/>
    </x:xf>
    <x:xf numFmtId="0" fontId="22" fillId="6" borderId="0" xfId="0" applyNumberFormat="1" applyFont="1" applyFill="1" applyBorder="1" applyAlignment="1">
      <x:alignment vertical="center"/>
    </x:xf>
    <x:xf numFmtId="0" fontId="23" fillId="4" borderId="4" xfId="0" applyNumberFormat="1" applyFont="1" applyFill="1" applyBorder="1" applyAlignment="1">
      <x:alignment vertical="center" wrapText="1"/>
    </x:xf>
    <x:xf numFmtId="0" fontId="23" fillId="4" borderId="5" xfId="0" applyNumberFormat="1" applyFont="1" applyFill="1" applyBorder="1" applyAlignment="1">
      <x:alignment vertical="center" wrapText="1"/>
    </x:xf>
    <x:xf numFmtId="0" fontId="23" fillId="4" borderId="6" xfId="0" applyNumberFormat="1" applyFont="1" applyFill="1" applyBorder="1" applyAlignment="1">
      <x:alignment vertical="center" wrapText="1"/>
    </x:xf>
    <x:xf numFmtId="0" fontId="24" fillId="0" borderId="7" xfId="0" applyNumberFormat="1" applyFont="1" applyFill="1" applyBorder="1" applyAlignment="1">
      <x:alignment vertical="top" wrapText="1"/>
    </x:xf>
    <x:xf numFmtId="200" fontId="24" fillId="0" borderId="7" xfId="0" applyNumberFormat="1" applyFont="1" applyFill="1" applyBorder="1" applyAlignment="1">
      <x:alignment vertical="top" wrapText="1"/>
    </x:xf>
    <x:xf numFmtId="0" fontId="24" fillId="0" borderId="8" xfId="0" applyNumberFormat="1" applyFont="1" applyFill="1" applyBorder="1" applyAlignment="1">
      <x:alignment vertical="top" wrapText="1"/>
    </x:xf>
    <x:xf numFmtId="200" fontId="24" fillId="0" borderId="8" xfId="0" applyNumberFormat="1" applyFont="1" applyFill="1" applyBorder="1" applyAlignment="1">
      <x:alignment vertical="top" wrapText="1"/>
    </x:xf>
    <x:xf numFmtId="0" fontId="24" fillId="0" borderId="9" xfId="0" applyNumberFormat="1" applyFont="1" applyFill="1" applyBorder="1" applyAlignment="1">
      <x:alignment vertical="top" wrapText="1"/>
    </x:xf>
    <x:xf numFmtId="200" fontId="24" fillId="0" borderId="9" xfId="0" applyNumberFormat="1" applyFont="1" applyFill="1" applyBorder="1" applyAlignment="1">
      <x:alignment vertical="top" wrapText="1"/>
    </x:xf>
    <x:xf numFmtId="0" fontId="20" fillId="5" borderId="0" xfId="0" applyNumberFormat="1" applyFont="1" applyFill="1" applyBorder="1"/>
    <x:xf numFmtId="0" fontId="18" fillId="4" borderId="0" xfId="0" applyNumberFormat="1" applyFont="1" applyFill="1" applyBorder="1" applyAlignment="1">
      <x:alignment wrapText="1"/>
    </x:xf>
    <x:xf numFmtId="0" fontId="22" fillId="0" borderId="1" xfId="0" applyNumberFormat="1" applyFont="1" applyFill="1" applyBorder="1" applyAlignment="1">
      <x:alignment vertical="top" wrapText="1"/>
    </x:xf>
    <x:xf numFmtId="0" fontId="22" fillId="0" borderId="2" xfId="0" applyNumberFormat="1" applyFont="1" applyFill="1" applyBorder="1" applyAlignment="1">
      <x:alignment vertical="top" wrapText="1"/>
    </x:xf>
    <x:xf numFmtId="0" fontId="22" fillId="0" borderId="3" xfId="0" applyNumberFormat="1" applyFont="1" applyFill="1" applyBorder="1" applyAlignment="1">
      <x:alignment vertical="top" wrapText="1"/>
    </x:xf>
    <x:xf numFmtId="0" fontId="25" fillId="6" borderId="0" xfId="0" applyNumberFormat="1" applyFont="1" applyFill="1" applyBorder="1"/>
    <x:xf numFmtId="0" fontId="17" fillId="3" borderId="1" xfId="0" applyNumberFormat="1" applyFont="1" applyFill="1" applyBorder="1" applyAlignment="1">
      <x:alignment vertical="top" wrapText="1"/>
    </x:xf>
    <x:xf numFmtId="0" fontId="17" fillId="3" borderId="2" xfId="0" applyNumberFormat="1" applyFont="1" applyFill="1" applyBorder="1" applyAlignment="1">
      <x:alignment vertical="top" wrapText="1"/>
    </x:xf>
    <x:xf numFmtId="0" fontId="17" fillId="3" borderId="3" xfId="0" applyNumberFormat="1" applyFont="1" applyFill="1" applyBorder="1" applyAlignment="1">
      <x:alignment vertical="top" wrapText="1"/>
    </x:xf>
    <x:xf numFmtId="0" fontId="18" fillId="2" borderId="0" xfId="0" applyNumberFormat="1" applyFont="1" applyFill="1" applyBorder="1" applyAlignment="1">
      <x:alignment wrapText="1"/>
    </x:xf>
    <x:xf numFmtId="0" fontId="17" fillId="3" borderId="1" xfId="0" applyNumberFormat="1" applyFont="1" applyFill="1" applyBorder="1"/>
    <x:xf numFmtId="0" fontId="17" fillId="3" borderId="2" xfId="0" applyNumberFormat="1" applyFont="1" applyFill="1" applyBorder="1"/>
    <x:xf numFmtId="0" fontId="17" fillId="3" borderId="3" xfId="0" applyNumberFormat="1" applyFont="1" applyFill="1" applyBorder="1"/>
    <x:xf numFmtId="0" fontId="15" fillId="0" borderId="0" xfId="0" applyNumberFormat="1" applyFont="1" applyFill="1" applyBorder="1" applyAlignment="1">
      <x:alignment wrapText="1"/>
    </x:xf>
    <x:xf numFmtId="0" fontId="26" fillId="0" borderId="1" xfId="0" applyNumberFormat="1" applyFont="1" applyFill="1" applyBorder="1" applyAlignment="1">
      <x:alignment vertical="top" wrapText="1"/>
    </x:xf>
    <x:xf numFmtId="0" fontId="26" fillId="0" borderId="2" xfId="0" applyNumberFormat="1" applyFont="1" applyFill="1" applyBorder="1" applyAlignment="1">
      <x:alignment vertical="top" wrapText="1"/>
    </x:xf>
    <x:xf numFmtId="0" fontId="26" fillId="0" borderId="3" xfId="0" applyNumberFormat="1" applyFont="1" applyFill="1" applyBorder="1" applyAlignment="1">
      <x:alignment vertical="top" wrapText="1"/>
    </x:xf>
    <x:xf numFmtId="0" fontId="26" fillId="13" borderId="1" xfId="0" applyNumberFormat="1" applyFont="1" applyFill="1" applyBorder="1" applyAlignment="1">
      <x:alignment vertical="top" wrapText="1"/>
    </x:xf>
    <x:xf numFmtId="0" fontId="26" fillId="14" borderId="2" xfId="0" applyNumberFormat="1" applyFont="1" applyFill="1" applyBorder="1" applyAlignment="1">
      <x:alignment vertical="top" wrapText="1"/>
    </x:xf>
    <x:xf numFmtId="0" fontId="26" fillId="13" borderId="2" xfId="0" applyNumberFormat="1" applyFont="1" applyFill="1" applyBorder="1" applyAlignment="1">
      <x:alignment vertical="top" wrapText="1"/>
    </x:xf>
    <x:xf numFmtId="0" fontId="26" fillId="15" borderId="3" xfId="0" applyNumberFormat="1" applyFont="1" applyFill="1" applyBorder="1" applyAlignment="1">
      <x:alignmen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vertical="center"/>
    </x:xf>
    <x:xf numFmtId="0" fontId="0" fillId="17" borderId="0" xfId="0" applyNumberFormat="1" applyFont="1" applyFill="1" applyBorder="1"/>
    <x:xf numFmtId="0" fontId="27" fillId="17" borderId="0" xfId="0" applyNumberFormat="1" applyFont="1" applyFill="1" applyBorder="1"/>
    <x:xf numFmtId="0" fontId="27" fillId="17" borderId="0" xfId="0" applyNumberFormat="1" applyFont="1" applyFill="1" applyBorder="1" applyAlignment="1">
      <x:alignment wrapText="1"/>
    </x:xf>
    <x:xf numFmtId="0" fontId="27" fillId="17" borderId="0" xfId="0" applyNumberFormat="1" applyFont="1" applyFill="1" applyBorder="1" applyAlignment="1">
      <x:alignment vertical="center" wrapText="1"/>
    </x:xf>
    <x:xf numFmtId="0" fontId="0" fillId="18" borderId="0" xfId="0" applyNumberFormat="1" applyFont="1" applyFill="1" applyBorder="1"/>
    <x:xf numFmtId="0" fontId="1" fillId="18" borderId="0" xfId="0" applyNumberFormat="1" applyFont="1" applyFill="1" applyBorder="1"/>
    <x:xf numFmtId="0" fontId="1" fillId="18" borderId="0" xfId="0" applyNumberFormat="1" applyFont="1" applyFill="1" applyBorder="1" applyAlignment="1">
      <x:alignment vertical="center"/>
    </x:xf>
    <x:xf numFmtId="0" fontId="1" fillId="16" borderId="0" xfId="0" applyNumberFormat="1" applyFont="1" applyFill="1" applyBorder="1" applyAlignment="1">
      <x:alignment wrapText="1"/>
    </x:xf>
    <x:xf numFmtId="0" fontId="1" fillId="16" borderId="0" xfId="0" applyNumberFormat="1" applyFont="1" applyFill="1" applyBorder="1" applyAlignment="1">
      <x:alignment vertical="center" wrapText="1"/>
    </x:xf>
    <x:xf numFmtId="0" fontId="0" fillId="19" borderId="0" xfId="0" applyNumberFormat="1" applyFont="1" applyFill="1" applyBorder="1"/>
    <x:xf numFmtId="0" fontId="2" fillId="19" borderId="0" xfId="0" applyNumberFormat="1" applyFont="1" applyFill="1" applyBorder="1"/>
    <x:xf numFmtId="0" fontId="0" fillId="15" borderId="0" xfId="0" applyNumberFormat="1" applyFont="1" applyFill="1" applyBorder="1"/>
    <x:xf numFmtId="0" fontId="11" fillId="15" borderId="0" xfId="0" applyNumberFormat="1" applyFont="1" applyFill="1" applyBorder="1"/>
    <x:xf numFmtId="0" fontId="11" fillId="15" borderId="0" xfId="0" applyNumberFormat="1" applyFont="1" applyFill="1" applyBorder="1" applyAlignment="1">
      <x:alignment horizontal="right"/>
    </x:xf>
    <x:xf numFmtId="0" fontId="2" fillId="19"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0" borderId="0" xfId="0" applyNumberFormat="1" applyFont="1" applyFill="1" applyBorder="1" applyAlignment="1">
      <x:alignment vertical="top" wrapText="1"/>
    </x:xf>
    <x:xf numFmtId="0" fontId="2" fillId="13" borderId="0" xfId="0" applyNumberFormat="1" applyFont="1" applyFill="1" applyBorder="1" applyAlignment="1">
      <x:alignment vertical="top" wrapText="1"/>
    </x:xf>
    <x:xf numFmtId="0" fontId="11" fillId="13" borderId="0" xfId="0" applyNumberFormat="1" applyFont="1" applyFill="1" applyBorder="1" applyAlignment="1">
      <x:alignment vertical="top" wrapText="1"/>
    </x:xf>
    <x:xf numFmtId="0" fontId="2" fillId="21" borderId="0" xfId="0" applyNumberFormat="1" applyFont="1" applyFill="1" applyBorder="1" applyAlignment="1">
      <x:alignment vertical="top" wrapText="1"/>
    </x:xf>
    <x:xf numFmtId="0" fontId="2" fillId="14" borderId="0" xfId="0" applyNumberFormat="1" applyFont="1" applyFill="1" applyBorder="1" applyAlignment="1">
      <x:alignment vertical="top" wrapText="1"/>
    </x:xf>
    <x:xf numFmtId="0" fontId="11" fillId="14"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1" fillId="15" borderId="0" xfId="0" applyNumberFormat="1" applyFont="1" applyFill="1" applyBorder="1" applyAlignment="1">
      <x:alignment vertical="top" wrapText="1"/>
    </x:xf>
    <x:xf numFmtId="0" fontId="2" fillId="22" borderId="0" xfId="0" applyNumberFormat="1" applyFont="1" applyFill="1" applyBorder="1" applyAlignment="1">
      <x:alignment vertical="top" wrapText="1"/>
    </x:xf>
    <x:xf numFmtId="0" fontId="2" fillId="23" borderId="0" xfId="0" applyNumberFormat="1" applyFont="1" applyFill="1" applyBorder="1" applyAlignment="1">
      <x:alignment vertical="top" wrapText="1"/>
    </x:xf>
    <x:xf numFmtId="0" fontId="2" fillId="24" borderId="0" xfId="0" applyNumberFormat="1" applyFont="1" applyFill="1" applyBorder="1" applyAlignment="1">
      <x:alignment vertical="top" wrapText="1"/>
    </x:xf>
    <x:xf numFmtId="0" fontId="1" fillId="24" borderId="0" xfId="0" applyNumberFormat="1" applyFont="1" applyFill="1" applyBorder="1" applyAlignment="1">
      <x:alignment vertical="top" wrapText="1"/>
    </x:xf>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25" borderId="1" xfId="0" applyNumberFormat="1" applyFont="1" applyFill="1" applyBorder="1" applyAlignment="1">
      <x:alignment vertical="top" wrapText="1"/>
    </x:xf>
    <x:xf numFmtId="0" fontId="2" fillId="26" borderId="2" xfId="0" applyNumberFormat="1" applyFont="1" applyFill="1" applyBorder="1" applyAlignment="1">
      <x:alignment vertical="top" wrapText="1"/>
    </x:xf>
    <x:xf numFmtId="0" fontId="2" fillId="25" borderId="2" xfId="0" applyNumberFormat="1" applyFont="1" applyFill="1" applyBorder="1" applyAlignment="1">
      <x:alignment vertical="top" wrapText="1"/>
    </x:xf>
    <x:xf numFmtId="0" fontId="2" fillId="26" borderId="3" xfId="0" applyNumberFormat="1" applyFont="1" applyFill="1" applyBorder="1" applyAlignment="1">
      <x:alignment vertical="top" wrapText="1"/>
    </x:xf>
    <x:xf numFmtId="0" fontId="0" fillId="27" borderId="0" xfId="0" applyNumberFormat="1" applyFont="1" applyFill="1" applyBorder="1"/>
    <x:xf numFmtId="0" fontId="1" fillId="27" borderId="0" xfId="0" applyNumberFormat="1" applyFont="1" applyFill="1" applyBorder="1"/>
    <x:xf numFmtId="0" fontId="1" fillId="27" borderId="0" xfId="0" applyNumberFormat="1" applyFont="1" applyFill="1" applyBorder="1" applyAlignment="1">
      <x:alignment vertical="center"/>
    </x:xf>
    <x:xf numFmtId="0" fontId="0" fillId="28" borderId="0" xfId="0" applyNumberFormat="1" applyFont="1" applyFill="1" applyBorder="1"/>
    <x:xf numFmtId="0" fontId="27" fillId="28" borderId="0" xfId="0" applyNumberFormat="1" applyFont="1" applyFill="1" applyBorder="1"/>
    <x:xf numFmtId="0" fontId="27" fillId="28" borderId="0" xfId="0" applyNumberFormat="1" applyFont="1" applyFill="1" applyBorder="1" applyAlignment="1">
      <x:alignment wrapText="1"/>
    </x:xf>
    <x:xf numFmtId="0" fontId="27" fillId="28" borderId="0" xfId="0" applyNumberFormat="1" applyFont="1" applyFill="1" applyBorder="1" applyAlignment="1">
      <x:alignment vertical="center" wrapText="1"/>
    </x:xf>
    <x:xf numFmtId="0" fontId="0" fillId="29" borderId="0" xfId="0" applyNumberFormat="1" applyFont="1" applyFill="1" applyBorder="1"/>
    <x:xf numFmtId="0" fontId="11" fillId="29" borderId="0" xfId="0" applyNumberFormat="1" applyFont="1" applyFill="1" applyBorder="1"/>
    <x:xf numFmtId="0" fontId="11" fillId="29" borderId="0" xfId="0" applyNumberFormat="1" applyFont="1" applyFill="1" applyBorder="1" applyAlignment="1">
      <x:alignment wrapText="1"/>
    </x:xf>
    <x:xf numFmtId="0" fontId="0" fillId="26" borderId="0" xfId="0" applyNumberFormat="1" applyFont="1" applyFill="1" applyBorder="1"/>
    <x:xf numFmtId="0" fontId="2" fillId="26" borderId="0" xfId="0" applyNumberFormat="1" applyFont="1" applyFill="1" applyBorder="1"/>
    <x:xf numFmtId="0" fontId="2" fillId="26" borderId="0" xfId="0" applyNumberFormat="1" applyFont="1" applyFill="1" applyBorder="1" applyAlignment="1">
      <x:alignment wrapText="1"/>
    </x:xf>
    <x:xf numFmtId="0" fontId="0" fillId="30" borderId="0" xfId="0" applyNumberFormat="1" applyFont="1" applyFill="1" applyBorder="1"/>
    <x:xf numFmtId="0" fontId="1" fillId="30" borderId="0" xfId="0" applyNumberFormat="1" applyFont="1" applyFill="1" applyBorder="1"/>
    <x:xf numFmtId="0" fontId="1" fillId="30" borderId="0" xfId="0" applyNumberFormat="1" applyFont="1" applyFill="1" applyBorder="1" applyAlignment="1">
      <x:alignment vertical="center"/>
    </x:xf>
    <x:xf numFmtId="0" fontId="11" fillId="29" borderId="0" xfId="0" applyNumberFormat="1" applyFont="1" applyFill="1" applyBorder="1" applyAlignment="1">
      <x:alignment horizontal="right"/>
    </x:xf>
    <x:xf numFmtId="0" fontId="0" fillId="31" borderId="0" xfId="0" applyNumberFormat="1" applyFont="1" applyFill="1" applyBorder="1"/>
    <x:xf numFmtId="0" fontId="11" fillId="31" borderId="0" xfId="0" applyNumberFormat="1" applyFont="1" applyFill="1" applyBorder="1"/>
    <x:xf numFmtId="0" fontId="11" fillId="31" borderId="0" xfId="0" applyNumberFormat="1" applyFont="1" applyFill="1" applyBorder="1" applyAlignment="1">
      <x:alignment horizontal="center"/>
    </x:xf>
    <x:xf numFmtId="0" fontId="2" fillId="26" borderId="0" xfId="0" applyNumberFormat="1" applyFont="1" applyFill="1" applyBorder="1" applyAlignment="1">
      <x:alignment vertical="top" wrapText="1"/>
    </x:xf>
    <x:xf numFmtId="0" fontId="0" fillId="32" borderId="0" xfId="0" applyNumberFormat="1" applyFont="1" applyFill="1" applyBorder="1"/>
    <x:xf numFmtId="0" fontId="1" fillId="32" borderId="0" xfId="0" applyNumberFormat="1" applyFont="1" applyFill="1" applyBorder="1"/>
    <x:xf numFmtId="0" fontId="0" fillId="25" borderId="0" xfId="0" applyNumberFormat="1" applyFont="1" applyFill="1" applyBorder="1"/>
    <x:xf numFmtId="0" fontId="2" fillId="25" borderId="0" xfId="0" applyNumberFormat="1" applyFont="1" applyFill="1" applyBorder="1"/>
    <x:xf numFmtId="0" fontId="2" fillId="25" borderId="1" xfId="0" applyNumberFormat="1" applyFont="1" applyFill="1" applyBorder="1"/>
    <x:xf numFmtId="0" fontId="2" fillId="25" borderId="1" xfId="0" applyNumberFormat="1" applyFont="1" applyFill="1" applyBorder="1" applyAlignment="1">
      <x:alignment wrapText="1"/>
    </x:xf>
    <x:xf numFmtId="0" fontId="28" fillId="25" borderId="1" xfId="0" applyNumberFormat="1" applyFont="1" applyFill="1" applyBorder="1" applyAlignment="1">
      <x:alignment vertical="top" wrapText="1"/>
    </x:xf>
    <x:xf numFmtId="0" fontId="11" fillId="25" borderId="1" xfId="0" applyNumberFormat="1" applyFont="1" applyFill="1" applyBorder="1" applyAlignment="1">
      <x:alignment vertical="top" wrapText="1"/>
    </x:xf>
    <x:xf numFmtId="0" fontId="2" fillId="26" borderId="1" xfId="0" applyNumberFormat="1" applyFont="1" applyFill="1" applyBorder="1"/>
    <x:xf numFmtId="0" fontId="2" fillId="26" borderId="1" xfId="0" applyNumberFormat="1" applyFont="1" applyFill="1" applyBorder="1" applyAlignment="1">
      <x:alignment wrapText="1"/>
    </x:xf>
    <x:xf numFmtId="0" fontId="2" fillId="26" borderId="1" xfId="0" applyNumberFormat="1" applyFont="1" applyFill="1" applyBorder="1" applyAlignment="1">
      <x:alignment vertical="top" wrapText="1"/>
    </x:xf>
    <x:xf numFmtId="0" fontId="28" fillId="26" borderId="1" xfId="0" applyNumberFormat="1" applyFont="1" applyFill="1" applyBorder="1" applyAlignment="1">
      <x:alignment vertical="top" wrapText="1"/>
    </x:xf>
    <x:xf numFmtId="0" fontId="11" fillId="26" borderId="1" xfId="0" applyNumberFormat="1" applyFont="1" applyFill="1" applyBorder="1" applyAlignment="1">
      <x:alignment vertical="top" wrapText="1"/>
    </x:xf>
    <x:xf numFmtId="0" fontId="0" fillId="33" borderId="0" xfId="0" applyNumberFormat="1" applyFont="1" applyFill="1" applyBorder="1"/>
    <x:xf numFmtId="0" fontId="11" fillId="33" borderId="0" xfId="0" applyNumberFormat="1" applyFont="1" applyFill="1" applyBorder="1"/>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wrapText="1"/>
    </x:xf>
    <x:xf numFmtId="0" fontId="2" fillId="34" borderId="0" xfId="0" applyNumberFormat="1" applyFont="1" applyFill="1" applyBorder="1" applyAlignment="1">
      <x:alignment vertical="top" wrapText="1"/>
    </x:xf>
    <x:xf numFmtId="0" fontId="1" fillId="32" borderId="10" xfId="0" applyNumberFormat="1" applyFont="1" applyFill="1" applyBorder="1"/>
    <x:xf numFmtId="0" fontId="1" fillId="32" borderId="11" xfId="0" applyNumberFormat="1" applyFont="1" applyFill="1" applyBorder="1"/>
    <x:xf numFmtId="0" fontId="1" fillId="32" borderId="12" xfId="0" applyNumberFormat="1" applyFont="1" applyFill="1" applyBorder="1"/>
    <x:xf numFmtId="0" fontId="1" fillId="32" borderId="10" xfId="0" applyNumberFormat="1" applyFont="1" applyFill="1" applyBorder="1" applyAlignment="1">
      <x:alignment wrapText="1"/>
    </x:xf>
    <x:xf numFmtId="0" fontId="1" fillId="32" borderId="11" xfId="0" applyNumberFormat="1" applyFont="1" applyFill="1" applyBorder="1" applyAlignment="1">
      <x:alignment wrapText="1"/>
    </x:xf>
    <x:xf numFmtId="0" fontId="1" fillId="32" borderId="12" xfId="0" applyNumberFormat="1" applyFont="1" applyFill="1" applyBorder="1" applyAlignment="1">
      <x:alignment wrapText="1"/>
    </x:xf>
    <x:xf numFmtId="0" fontId="1" fillId="32" borderId="10" xfId="0" applyNumberFormat="1" applyFont="1" applyFill="1" applyBorder="1" applyAlignment="1">
      <x:alignment vertical="center" wrapText="1"/>
    </x:xf>
    <x:xf numFmtId="0" fontId="1" fillId="32" borderId="11" xfId="0" applyNumberFormat="1" applyFont="1" applyFill="1" applyBorder="1" applyAlignment="1">
      <x:alignment vertical="center" wrapText="1"/>
    </x:xf>
    <x:xf numFmtId="0" fontId="1" fillId="32" borderId="12" xfId="0" applyNumberFormat="1" applyFont="1" applyFill="1" applyBorder="1" applyAlignment="1">
      <x:alignment vertical="center" wrapText="1"/>
    </x:xf>
    <x:xf numFmtId="0" fontId="2" fillId="34" borderId="1" xfId="0" applyNumberFormat="1" applyFont="1" applyFill="1" applyBorder="1" applyAlignment="1">
      <x:alignment vertical="top" wrapText="1"/>
    </x:xf>
    <x:xf numFmtId="0" fontId="2" fillId="34" borderId="2" xfId="0" applyNumberFormat="1" applyFont="1" applyFill="1" applyBorder="1" applyAlignment="1">
      <x:alignment vertical="top" wrapText="1"/>
    </x:xf>
    <x:xf numFmtId="0" fontId="2" fillId="34" borderId="3" xfId="0" applyNumberFormat="1" applyFont="1" applyFill="1" applyBorder="1" applyAlignment="1">
      <x:alignment vertical="top" wrapText="1"/>
    </x:xf>
    <x:xf numFmtId="0" fontId="11" fillId="34" borderId="1" xfId="0" applyNumberFormat="1" applyFont="1" applyFill="1" applyBorder="1" applyAlignment="1">
      <x:alignment vertical="top" wrapText="1"/>
    </x:xf>
    <x:xf numFmtId="0" fontId="11" fillId="34" borderId="2" xfId="0" applyNumberFormat="1" applyFont="1" applyFill="1" applyBorder="1" applyAlignment="1">
      <x:alignment vertical="top" wrapText="1"/>
    </x:xf>
    <x:xf numFmtId="0" fontId="11" fillId="34" borderId="3" xfId="0" applyNumberFormat="1" applyFont="1" applyFill="1" applyBorder="1" applyAlignment="1">
      <x:alignment vertical="top" wrapText="1"/>
    </x:xf>
    <x:xf numFmtId="0" fontId="2" fillId="31" borderId="1" xfId="0" applyNumberFormat="1" applyFont="1" applyFill="1" applyBorder="1" applyAlignment="1">
      <x:alignment vertical="top" wrapText="1"/>
    </x:xf>
    <x:xf numFmtId="0" fontId="2" fillId="31" borderId="2" xfId="0" applyNumberFormat="1" applyFont="1" applyFill="1" applyBorder="1" applyAlignment="1">
      <x:alignment vertical="top" wrapText="1"/>
    </x:xf>
    <x:xf numFmtId="0" fontId="2" fillId="31" borderId="3" xfId="0" applyNumberFormat="1" applyFont="1" applyFill="1" applyBorder="1" applyAlignment="1">
      <x:alignment vertical="top" wrapText="1"/>
    </x:xf>
    <x:xf numFmtId="0" fontId="11" fillId="31" borderId="1" xfId="0" applyNumberFormat="1" applyFont="1" applyFill="1" applyBorder="1" applyAlignment="1">
      <x:alignment vertical="top" wrapText="1"/>
    </x:xf>
    <x:xf numFmtId="0" fontId="11" fillId="31" borderId="2" xfId="0" applyNumberFormat="1" applyFont="1" applyFill="1" applyBorder="1" applyAlignment="1">
      <x:alignment vertical="top" wrapText="1"/>
    </x:xf>
    <x:xf numFmtId="0" fontId="11" fillId="31" borderId="3" xfId="0" applyNumberFormat="1" applyFont="1" applyFill="1" applyBorder="1" applyAlignment="1">
      <x:alignment vertical="top" wrapText="1"/>
    </x:xf>
    <x:xf numFmtId="0" fontId="2" fillId="25" borderId="3" xfId="0" applyNumberFormat="1" applyFont="1" applyFill="1" applyBorder="1" applyAlignment="1">
      <x:alignment vertical="top" wrapText="1"/>
    </x:xf>
    <x:xf numFmtId="0" fontId="11" fillId="35" borderId="0" xfId="0" applyNumberFormat="1" applyFont="1" applyFill="1" applyBorder="1"/>
    <x:xf numFmtId="0" fontId="2" fillId="36" borderId="0" xfId="0" applyNumberFormat="1" applyFont="1" applyFill="1" applyBorder="1" applyAlignment="1">
      <x:alignment vertical="top" wrapText="1"/>
    </x:xf>
    <x:xf numFmtId="0" fontId="11" fillId="35" borderId="1" xfId="0" applyNumberFormat="1" applyFont="1" applyFill="1" applyBorder="1" applyAlignment="1">
      <x:alignment vertical="top" wrapText="1"/>
    </x:xf>
    <x:xf numFmtId="0" fontId="11" fillId="35" borderId="2" xfId="0" applyNumberFormat="1" applyFont="1" applyFill="1" applyBorder="1" applyAlignment="1">
      <x:alignment vertical="top" wrapText="1"/>
    </x:xf>
    <x:xf numFmtId="0" fontId="11" fillId="35" borderId="3" xfId="0" applyNumberFormat="1" applyFont="1" applyFill="1" applyBorder="1" applyAlignment="1">
      <x:alignment vertical="top" wrapText="1"/>
    </x:xf>
    <x:xf numFmtId="0" fontId="0" fillId="37" borderId="0" xfId="0" applyNumberFormat="1" applyFont="1" applyFill="1" applyBorder="1"/>
    <x:xf numFmtId="0" fontId="2" fillId="37" borderId="0" xfId="0" applyNumberFormat="1" applyFont="1" applyFill="1" applyBorder="1"/>
    <x:xf numFmtId="0" fontId="2" fillId="37" xfId="0" applyNumberFormat="1" applyFont="1" applyFill="1" applyBorder="0"/>
    <x:xf numFmtId="0" fontId="2" fillId="37" xfId="0" applyNumberFormat="1" applyFont="1" applyFill="1" applyBorder="0" applyAlignment="1">
      <x:alignment wrapText="1"/>
    </x:xf>
    <x:xf numFmtId="0" fontId="2" fillId="37" xfId="0" applyNumberFormat="1" applyFont="1" applyFill="1" applyBorder="0" applyAlignment="1">
      <x:alignment vertical="top" wrapText="1"/>
    </x:xf>
    <x:xf numFmtId="0" fontId="0" fillId="38" borderId="0" xfId="0" applyNumberFormat="1" applyFont="1" applyFill="1" applyBorder="1"/>
    <x:xf numFmtId="0" fontId="1" fillId="38" borderId="0" xfId="0" applyNumberFormat="1" applyFont="1" applyFill="1" applyBorder="1"/>
    <x:xf numFmtId="0" fontId="1" fillId="38" borderId="0" xfId="0" applyNumberFormat="1" applyFont="1" applyFill="1" applyBorder="1" applyAlignment="1">
      <x:alignment vertical="center"/>
    </x:xf>
    <x:xf numFmtId="0" fontId="0" fillId="39" borderId="0" xfId="0" applyNumberFormat="1" applyFont="1" applyFill="1" applyBorder="1"/>
    <x:xf numFmtId="0" fontId="27" fillId="39" borderId="0" xfId="0" applyNumberFormat="1" applyFont="1" applyFill="1" applyBorder="1"/>
    <x:xf numFmtId="0" fontId="27" fillId="39" borderId="0" xfId="0" applyNumberFormat="1" applyFont="1" applyFill="1" applyBorder="1" applyAlignment="1">
      <x:alignment wrapText="1"/>
    </x:xf>
    <x:xf numFmtId="0" fontId="27" fillId="39" borderId="0" xfId="0" applyNumberFormat="1" applyFont="1" applyFill="1" applyBorder="1" applyAlignment="1">
      <x:alignment vertical="center" wrapText="1"/>
    </x:xf>
    <x:xf numFmtId="0" fontId="0" fillId="40" borderId="0" xfId="0" applyNumberFormat="1" applyFont="1" applyFill="1" applyBorder="1"/>
    <x:xf numFmtId="0" fontId="11" fillId="40" borderId="0" xfId="0" applyNumberFormat="1" applyFont="1" applyFill="1" applyBorder="1"/>
    <x:xf numFmtId="0" fontId="11" fillId="40" borderId="0" xfId="0" applyNumberFormat="1" applyFont="1" applyFill="1" applyBorder="1" applyAlignment="1">
      <x:alignment wrapText="1"/>
    </x:xf>
    <x:xf numFmtId="0" fontId="0" fillId="36" borderId="0" xfId="0" applyNumberFormat="1" applyFont="1" applyFill="1" applyBorder="1"/>
    <x:xf numFmtId="0" fontId="2" fillId="36" borderId="0" xfId="0" applyNumberFormat="1" applyFont="1" applyFill="1" applyBorder="1"/>
    <x:xf numFmtId="0" fontId="2" fillId="36" borderId="0" xfId="0" applyNumberFormat="1" applyFont="1" applyFill="1" applyBorder="1" applyAlignment="1">
      <x:alignment wrapText="1"/>
    </x:xf>
    <x:xf numFmtId="0" fontId="0" fillId="41"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vertical="center"/>
    </x:xf>
    <x:xf numFmtId="0" fontId="11" fillId="40" borderId="0" xfId="0" applyNumberFormat="1" applyFont="1" applyFill="1" applyBorder="1" applyAlignment="1">
      <x:alignment horizontal="right"/>
    </x:xf>
    <x:xf numFmtId="0" fontId="0" fillId="35" borderId="0" xfId="0" applyNumberFormat="1" applyFont="1" applyFill="1" applyBorder="1"/>
    <x:xf numFmtId="0" fontId="11" fillId="35" borderId="0" xfId="0" applyNumberFormat="1" applyFont="1" applyFill="1" applyBorder="1" applyAlignment="1">
      <x:alignment horizontal="center"/>
    </x:xf>
    <x:xf numFmtId="0" fontId="0" fillId="42" borderId="0" xfId="0" applyNumberFormat="1" applyFont="1" applyFill="1" applyBorder="1"/>
    <x:xf numFmtId="0" fontId="1" fillId="42" borderId="0" xfId="0" applyNumberFormat="1" applyFont="1" applyFill="1" applyBorder="1"/>
    <x:xf numFmtId="0" fontId="2" fillId="37" borderId="1" xfId="0" applyNumberFormat="1" applyFont="1" applyFill="1" applyBorder="1"/>
    <x:xf numFmtId="0" fontId="2" fillId="37" borderId="1" xfId="0" applyNumberFormat="1" applyFont="1" applyFill="1" applyBorder="1" applyAlignment="1">
      <x:alignment wrapText="1"/>
    </x:xf>
    <x:xf numFmtId="0" fontId="2" fillId="37" borderId="1" xfId="0" applyNumberFormat="1" applyFont="1" applyFill="1" applyBorder="1" applyAlignment="1">
      <x:alignment vertical="top" wrapText="1"/>
    </x:xf>
    <x:xf numFmtId="0" fontId="28" fillId="37" borderId="1" xfId="0" applyNumberFormat="1" applyFont="1" applyFill="1" applyBorder="1" applyAlignment="1">
      <x:alignment vertical="top" wrapText="1"/>
    </x:xf>
    <x:xf numFmtId="0" fontId="11" fillId="37" borderId="1" xfId="0" applyNumberFormat="1" applyFont="1" applyFill="1" applyBorder="1" applyAlignment="1">
      <x:alignment vertical="top" wrapText="1"/>
    </x:xf>
    <x:xf numFmtId="0" fontId="2" fillId="36" borderId="1" xfId="0" applyNumberFormat="1" applyFont="1" applyFill="1" applyBorder="1"/>
    <x:xf numFmtId="0" fontId="2" fillId="36" borderId="1" xfId="0" applyNumberFormat="1" applyFont="1" applyFill="1" applyBorder="1" applyAlignment="1">
      <x:alignment wrapText="1"/>
    </x:xf>
    <x:xf numFmtId="0" fontId="2" fillId="36" borderId="1" xfId="0" applyNumberFormat="1" applyFont="1" applyFill="1" applyBorder="1" applyAlignment="1">
      <x:alignment vertical="top" wrapText="1"/>
    </x:xf>
    <x:xf numFmtId="0" fontId="28" fillId="36" borderId="1" xfId="0" applyNumberFormat="1" applyFont="1" applyFill="1" applyBorder="1" applyAlignment="1">
      <x:alignment vertical="top" wrapText="1"/>
    </x:xf>
    <x:xf numFmtId="0" fontId="11" fillId="36" borderId="1" xfId="0" applyNumberFormat="1" applyFont="1" applyFill="1" applyBorder="1" applyAlignment="1">
      <x:alignment vertical="top" wrapText="1"/>
    </x:xf>
    <x:xf numFmtId="0" fontId="0" fillId="43" borderId="0" xfId="0" applyNumberFormat="1" applyFont="1" applyFill="1" applyBorder="1"/>
    <x:xf numFmtId="0" fontId="11" fillId="43" borderId="0" xfId="0" applyNumberFormat="1" applyFont="1" applyFill="1" applyBorder="1"/>
    <x:xf numFmtId="0" fontId="0" fillId="44" borderId="0" xfId="0" applyNumberFormat="1" applyFont="1" applyFill="1" applyBorder="1"/>
    <x:xf numFmtId="0" fontId="2" fillId="44" borderId="0" xfId="0" applyNumberFormat="1" applyFont="1" applyFill="1" applyBorder="1"/>
    <x:xf numFmtId="0" fontId="2" fillId="44" borderId="0" xfId="0" applyNumberFormat="1" applyFont="1" applyFill="1" applyBorder="1" applyAlignment="1">
      <x:alignment wrapText="1"/>
    </x:xf>
    <x:xf numFmtId="0" fontId="2" fillId="44" borderId="0" xfId="0" applyNumberFormat="1" applyFont="1" applyFill="1" applyBorder="1" applyAlignment="1">
      <x:alignment vertical="top" wrapText="1"/>
    </x:xf>
    <x:xf numFmtId="0" fontId="1" fillId="42" borderId="10" xfId="0" applyNumberFormat="1" applyFont="1" applyFill="1" applyBorder="1"/>
    <x:xf numFmtId="0" fontId="1" fillId="42" borderId="11" xfId="0" applyNumberFormat="1" applyFont="1" applyFill="1" applyBorder="1"/>
    <x:xf numFmtId="0" fontId="1" fillId="42" borderId="12" xfId="0" applyNumberFormat="1" applyFont="1" applyFill="1" applyBorder="1"/>
    <x:xf numFmtId="0" fontId="1" fillId="42" borderId="10" xfId="0" applyNumberFormat="1" applyFont="1" applyFill="1" applyBorder="1" applyAlignment="1">
      <x:alignment wrapText="1"/>
    </x:xf>
    <x:xf numFmtId="0" fontId="1" fillId="42" borderId="11" xfId="0" applyNumberFormat="1" applyFont="1" applyFill="1" applyBorder="1" applyAlignment="1">
      <x:alignment wrapText="1"/>
    </x:xf>
    <x:xf numFmtId="0" fontId="1" fillId="42" borderId="12" xfId="0" applyNumberFormat="1" applyFont="1" applyFill="1" applyBorder="1" applyAlignment="1">
      <x:alignment wrapText="1"/>
    </x:xf>
    <x:xf numFmtId="0" fontId="1" fillId="42" borderId="10" xfId="0" applyNumberFormat="1" applyFont="1" applyFill="1" applyBorder="1" applyAlignment="1">
      <x:alignment vertical="center" wrapText="1"/>
    </x:xf>
    <x:xf numFmtId="0" fontId="1" fillId="42" borderId="11" xfId="0" applyNumberFormat="1" applyFont="1" applyFill="1" applyBorder="1" applyAlignment="1">
      <x:alignment vertical="center" wrapText="1"/>
    </x:xf>
    <x:xf numFmtId="0" fontId="1" fillId="42" borderId="12" xfId="0" applyNumberFormat="1" applyFont="1" applyFill="1" applyBorder="1" applyAlignment="1">
      <x:alignment vertical="center" wrapText="1"/>
    </x:xf>
    <x:xf numFmtId="0" fontId="2" fillId="36" borderId="2" xfId="0" applyNumberFormat="1" applyFont="1" applyFill="1" applyBorder="1" applyAlignment="1">
      <x:alignment vertical="top" wrapText="1"/>
    </x:xf>
    <x:xf numFmtId="0" fontId="2" fillId="37" borderId="2" xfId="0" applyNumberFormat="1" applyFont="1" applyFill="1" applyBorder="1" applyAlignment="1">
      <x:alignment vertical="top" wrapText="1"/>
    </x:xf>
    <x:xf numFmtId="0" fontId="2" fillId="37" borderId="3" xfId="0" applyNumberFormat="1" applyFont="1" applyFill="1" applyBorder="1" applyAlignment="1">
      <x:alignment vertical="top" wrapText="1"/>
    </x:xf>
    <x:xf numFmtId="0" fontId="2" fillId="44" borderId="1" xfId="0" applyNumberFormat="1" applyFont="1" applyFill="1" applyBorder="1" applyAlignment="1">
      <x:alignment vertical="top" wrapText="1"/>
    </x:xf>
    <x:xf numFmtId="0" fontId="2" fillId="44" borderId="2" xfId="0" applyNumberFormat="1" applyFont="1" applyFill="1" applyBorder="1" applyAlignment="1">
      <x:alignment vertical="top" wrapText="1"/>
    </x:xf>
    <x:xf numFmtId="0" fontId="2" fillId="44" borderId="3" xfId="0" applyNumberFormat="1" applyFont="1" applyFill="1" applyBorder="1" applyAlignment="1">
      <x:alignment vertical="top" wrapText="1"/>
    </x:xf>
    <x:xf numFmtId="0" fontId="11" fillId="44" borderId="1" xfId="0" applyNumberFormat="1" applyFont="1" applyFill="1" applyBorder="1" applyAlignment="1">
      <x:alignment vertical="top" wrapText="1"/>
    </x:xf>
    <x:xf numFmtId="0" fontId="11" fillId="44" borderId="2" xfId="0" applyNumberFormat="1" applyFont="1" applyFill="1" applyBorder="1" applyAlignment="1">
      <x:alignment vertical="top" wrapText="1"/>
    </x:xf>
    <x:xf numFmtId="0" fontId="11" fillId="44" borderId="3" xfId="0" applyNumberFormat="1" applyFont="1" applyFill="1" applyBorder="1" applyAlignment="1">
      <x:alignment vertical="top" wrapText="1"/>
    </x:xf>
    <x:xf numFmtId="0" fontId="2" fillId="35" borderId="1" xfId="0" applyNumberFormat="1" applyFont="1" applyFill="1" applyBorder="1" applyAlignment="1">
      <x:alignment vertical="top" wrapText="1"/>
    </x:xf>
    <x:xf numFmtId="0" fontId="2" fillId="35" borderId="2" xfId="0" applyNumberFormat="1" applyFont="1" applyFill="1" applyBorder="1" applyAlignment="1">
      <x:alignment vertical="top" wrapText="1"/>
    </x:xf>
    <x:xf numFmtId="0" fontId="2" fillId="35" borderId="3" xfId="0" applyNumberFormat="1" applyFont="1" applyFill="1" applyBorder="1" applyAlignment="1">
      <x:alignment vertical="top" wrapText="1"/>
    </x:xf>
    <x:xf numFmtId="0" fontId="0" fillId="45" borderId="0" xfId="0" applyNumberFormat="1" applyFont="1" applyFill="1" applyBorder="1"/>
    <x:xf numFmtId="0" fontId="0" fillId="45" borderId="0" xfId="0" applyNumberFormat="1" applyFont="1" applyFill="1" applyBorder="1" applyAlignment="1">
      <x:alignment wrapText="1"/>
    </x:xf>
    <x:xf numFmtId="0" fontId="0" fillId="45" borderId="0" xfId="0" applyNumberFormat="1" applyFont="1" applyFill="1" applyBorder="1" applyAlignment="1">
      <x:alignment vertical="top" wrapText="1"/>
    </x:xf>
    <x:xf numFmtId="0" fontId="11" fillId="46" borderId="0" xfId="0" applyNumberFormat="1" applyFont="1" applyFill="1" applyBorder="1"/>
    <x:xf numFmtId="0" fontId="1" fillId="46" borderId="0" xfId="0" applyNumberFormat="1" applyFont="1" applyFill="1" applyBorder="1"/>
    <x:xf numFmtId="0" fontId="2" fillId="45" borderId="0" xfId="0" applyNumberFormat="1" applyFont="1" applyFill="1" applyBorder="1" applyAlignment="1">
      <x:alignment vertical="top" wrapText="1"/>
    </x:xf>
    <x:xf numFmtId="0" fontId="11" fillId="45" borderId="1" xfId="0" applyNumberFormat="1" applyFont="1" applyFill="1" applyBorder="1" applyAlignment="1">
      <x:alignment vertical="top" wrapText="1"/>
    </x:xf>
    <x:xf numFmtId="0" fontId="11" fillId="45" borderId="2" xfId="0" applyNumberFormat="1" applyFont="1" applyFill="1" applyBorder="1" applyAlignment="1">
      <x:alignment vertical="top" wrapText="1"/>
    </x:xf>
    <x:xf numFmtId="0" fontId="11" fillId="45" borderId="3" xfId="0" applyNumberFormat="1" applyFont="1" applyFill="1" applyBorder="1" applyAlignment="1">
      <x:alignment vertical="top" wrapText="1"/>
    </x:xf>
    <x:xf numFmtId="0" fontId="29" fillId="45" borderId="1" xfId="0" applyNumberFormat="1" applyFont="1" applyFill="1" applyBorder="1" applyAlignment="1">
      <x:alignment vertical="top" wrapText="1"/>
    </x:xf>
    <x:xf numFmtId="0" fontId="29" fillId="45" borderId="2" xfId="0" applyNumberFormat="1" applyFont="1" applyFill="1" applyBorder="1" applyAlignment="1">
      <x:alignment vertical="top" wrapText="1"/>
    </x:xf>
    <x:xf numFmtId="0" fontId="29" fillId="45" borderId="3" xfId="0" applyNumberFormat="1" applyFont="1" applyFill="1" applyBorder="1" applyAlignment="1">
      <x:alignment vertical="top" wrapText="1"/>
    </x:xf>
    <x:xf numFmtId="0" fontId="29" fillId="45" borderId="1" xfId="0" applyNumberFormat="1" applyFont="1" applyFill="1" applyBorder="1" applyAlignment="1">
      <x:alignment vertical="center" wrapText="1"/>
    </x:xf>
    <x:xf numFmtId="0" fontId="29" fillId="45" borderId="2" xfId="0" applyNumberFormat="1" applyFont="1" applyFill="1" applyBorder="1" applyAlignment="1">
      <x:alignment vertical="center" wrapText="1"/>
    </x:xf>
    <x:xf numFmtId="0" fontId="29" fillId="45" borderId="3" xfId="0" applyNumberFormat="1" applyFont="1" applyFill="1" applyBorder="1" applyAlignment="1">
      <x:alignment vertical="center" wrapText="1"/>
    </x:xf>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vertical="center"/>
    </x:xf>
    <x:xf numFmtId="0" fontId="0" fillId="48" borderId="0" xfId="0" applyNumberFormat="1" applyFont="1" applyFill="1" applyBorder="1"/>
    <x:xf numFmtId="0" fontId="27" fillId="48" borderId="0" xfId="0" applyNumberFormat="1" applyFont="1" applyFill="1" applyBorder="1"/>
    <x:xf numFmtId="0" fontId="27" fillId="48" borderId="0" xfId="0" applyNumberFormat="1" applyFont="1" applyFill="1" applyBorder="1" applyAlignment="1">
      <x:alignment wrapText="1"/>
    </x:xf>
    <x:xf numFmtId="0" fontId="27" fillId="48" borderId="0" xfId="0" applyNumberFormat="1" applyFont="1" applyFill="1" applyBorder="1" applyAlignment="1">
      <x:alignment vertical="center" wrapText="1"/>
    </x:xf>
    <x:xf numFmtId="0" fontId="0" fillId="49" borderId="0" xfId="0" applyNumberFormat="1" applyFont="1" applyFill="1" applyBorder="1"/>
    <x:xf numFmtId="0" fontId="11" fillId="49" borderId="0" xfId="0" applyNumberFormat="1" applyFont="1" applyFill="1" applyBorder="1"/>
    <x:xf numFmtId="0" fontId="11" fillId="49" borderId="0" xfId="0" applyNumberFormat="1" applyFont="1" applyFill="1" applyBorder="1" applyAlignment="1">
      <x:alignment wrapText="1"/>
    </x:xf>
    <x:xf numFmtId="0" fontId="0" fillId="50" borderId="0" xfId="0" applyNumberFormat="1" applyFont="1" applyFill="1" applyBorder="1"/>
    <x:xf numFmtId="0" fontId="2" fillId="50" borderId="0" xfId="0" applyNumberFormat="1" applyFont="1" applyFill="1" applyBorder="1"/>
    <x:xf numFmtId="0" fontId="2" fillId="50" borderId="0" xfId="0" applyNumberFormat="1" applyFont="1" applyFill="1" applyBorder="1" applyAlignment="1">
      <x:alignment wrapText="1"/>
    </x:xf>
    <x:xf numFmtId="0" fontId="0" fillId="51" borderId="0" xfId="0" applyNumberFormat="1" applyFont="1" applyFill="1" applyBorder="1"/>
    <x:xf numFmtId="0" fontId="1" fillId="51" borderId="0" xfId="0" applyNumberFormat="1" applyFont="1" applyFill="1" applyBorder="1"/>
    <x:xf numFmtId="0" fontId="1" fillId="51" borderId="0" xfId="0" applyNumberFormat="1" applyFont="1" applyFill="1" applyBorder="1" applyAlignment="1">
      <x:alignment wrapText="1"/>
    </x:xf>
    <x:xf numFmtId="0" fontId="0" fillId="52" borderId="0" xfId="0" applyNumberFormat="1" applyFont="1" applyFill="1" applyBorder="1"/>
    <x:xf numFmtId="0" fontId="2" fillId="52" borderId="0" xfId="0" applyNumberFormat="1" applyFont="1" applyFill="1" applyBorder="1"/>
    <x:xf numFmtId="0" fontId="2" fillId="52" borderId="0" xfId="0" applyNumberFormat="1" applyFont="1" applyFill="1" applyBorder="1" applyAlignment="1">
      <x:alignment wrapText="1"/>
    </x:xf>
    <x:xf numFmtId="0" fontId="11" fillId="52" borderId="0" xfId="0" applyNumberFormat="1" applyFont="1" applyFill="1" applyBorder="1"/>
    <x:xf numFmtId="0" fontId="11" fillId="52" borderId="0" xfId="0" applyNumberFormat="1" applyFont="1" applyFill="1" applyBorder="1" applyAlignment="1">
      <x:alignment wrapText="1"/>
    </x:xf>
    <x:xf numFmtId="0" fontId="11" fillId="52" borderId="0" xfId="0" applyNumberFormat="1" applyFont="1" applyFill="1" applyBorder="1" applyAlignment="1">
      <x:alignment vertical="center" wrapText="1"/>
    </x:xf>
    <x:xf numFmtId="0" fontId="0" fillId="53" borderId="0" xfId="0" applyNumberFormat="1" applyFont="1" applyFill="1" applyBorder="1"/>
    <x:xf numFmtId="0" fontId="1" fillId="53" borderId="0" xfId="0" applyNumberFormat="1" applyFont="1" applyFill="1" applyBorder="1"/>
    <x:xf numFmtId="0" fontId="1" fillId="53" borderId="0" xfId="0" applyNumberFormat="1" applyFont="1" applyFill="1" applyBorder="1" applyAlignment="1">
      <x:alignment vertical="center"/>
    </x:xf>
    <x:xf numFmtId="0" fontId="28" fillId="49" borderId="0" xfId="0" applyNumberFormat="1" applyFont="1" applyFill="1" applyBorder="1"/>
    <x:xf numFmtId="0" fontId="28" fillId="49" borderId="0" xfId="0" applyNumberFormat="1" applyFont="1" applyFill="1" applyBorder="1" applyAlignment="1">
      <x:alignment horizontal="center"/>
    </x:xf>
    <x:xf numFmtId="0" fontId="28" fillId="49" borderId="0" xfId="0" applyNumberFormat="1" applyFont="1" applyFill="1" applyBorder="1" applyAlignment="1">
      <x:alignment horizontal="center" vertical="center"/>
    </x:xf>
    <x:xf numFmtId="0" fontId="11" fillId="50" borderId="0" xfId="0" applyNumberFormat="1" applyFont="1" applyFill="1" applyBorder="1"/>
    <x:xf numFmtId="0" fontId="11" fillId="50" borderId="0" xfId="0" applyNumberFormat="1" applyFont="1" applyFill="1" applyBorder="1" applyAlignment="1">
      <x:alignment wrapText="1"/>
    </x:xf>
    <x:xf numFmtId="0" fontId="11" fillId="50" borderId="0" xfId="0" applyNumberFormat="1" applyFont="1" applyFill="1" applyBorder="1" applyAlignment="1">
      <x:alignment vertical="center" wrapText="1"/>
    </x:xf>
    <x:xf numFmtId="0" fontId="2" fillId="50" borderId="0" xfId="0" applyNumberFormat="1" applyFont="1" applyFill="1" applyBorder="1" applyAlignment="1">
      <x:alignment vertical="center" wrapText="1"/>
    </x:xf>
    <x:xf numFmtId="0" fontId="1" fillId="51" borderId="0" xfId="0" applyNumberFormat="1" applyFont="1" applyFill="1" applyBorder="1" applyAlignment="1">
      <x:alignment vertical="center"/>
    </x:xf>
    <x:xf numFmtId="0" fontId="1" fillId="47" borderId="13" xfId="0" applyNumberFormat="1" applyFont="1" applyFill="1" applyBorder="1" applyAlignment="1">
      <x:alignment vertical="center"/>
    </x:xf>
    <x:xf numFmtId="0" fontId="27" fillId="48" borderId="14" xfId="0" applyNumberFormat="1" applyFont="1" applyFill="1" applyBorder="1" applyAlignment="1">
      <x:alignment vertical="center" wrapText="1"/>
    </x:xf>
    <x:xf numFmtId="0" fontId="0" fillId="0" borderId="14" xfId="0" applyNumberFormat="1" applyFont="1" applyFill="1" applyBorder="1"/>
    <x:xf numFmtId="0" fontId="11" fillId="49" borderId="14" xfId="0" applyNumberFormat="1" applyFont="1" applyFill="1" applyBorder="1" applyAlignment="1">
      <x:alignment wrapText="1"/>
    </x:xf>
    <x:xf numFmtId="0" fontId="2" fillId="50" borderId="14" xfId="0" applyNumberFormat="1" applyFont="1" applyFill="1" applyBorder="1" applyAlignment="1">
      <x:alignment wrapText="1"/>
    </x:xf>
    <x:xf numFmtId="0" fontId="1" fillId="51" borderId="14" xfId="0" applyNumberFormat="1" applyFont="1" applyFill="1" applyBorder="1" applyAlignment="1">
      <x:alignment wrapText="1"/>
    </x:xf>
    <x:xf numFmtId="0" fontId="2" fillId="52" borderId="14" xfId="0" applyNumberFormat="1" applyFont="1" applyFill="1" applyBorder="1" applyAlignment="1">
      <x:alignment wrapText="1"/>
    </x:xf>
    <x:xf numFmtId="0" fontId="11" fillId="52" borderId="14" xfId="0" applyNumberFormat="1" applyFont="1" applyFill="1" applyBorder="1" applyAlignment="1">
      <x:alignment vertical="center" wrapText="1"/>
    </x:xf>
    <x:xf numFmtId="0" fontId="1" fillId="53" borderId="14" xfId="0" applyNumberFormat="1" applyFont="1" applyFill="1" applyBorder="1" applyAlignment="1">
      <x:alignment vertical="center"/>
    </x:xf>
    <x:xf numFmtId="0" fontId="28" fillId="49" borderId="14" xfId="0" applyNumberFormat="1" applyFont="1" applyFill="1" applyBorder="1" applyAlignment="1">
      <x:alignment horizontal="center" vertical="center"/>
    </x:xf>
    <x:xf numFmtId="0" fontId="11" fillId="50" borderId="14" xfId="0" applyNumberFormat="1" applyFont="1" applyFill="1" applyBorder="1" applyAlignment="1">
      <x:alignment vertical="center" wrapText="1"/>
    </x:xf>
    <x:xf numFmtId="0" fontId="2" fillId="50" borderId="14" xfId="0" applyNumberFormat="1" applyFont="1" applyFill="1" applyBorder="1" applyAlignment="1">
      <x:alignment vertical="center" wrapText="1"/>
    </x:xf>
    <x:xf numFmtId="0" fontId="1" fillId="51" borderId="14" xfId="0" applyNumberFormat="1" applyFont="1" applyFill="1" applyBorder="1" applyAlignment="1">
      <x:alignment vertical="center"/>
    </x:xf>
    <x:xf numFmtId="0" fontId="11" fillId="52" borderId="15" xfId="0" applyNumberFormat="1" applyFont="1" applyFill="1" applyBorder="1" applyAlignment="1">
      <x:alignment vertical="center" wrapText="1"/>
    </x:xf>
    <x:xf numFmtId="0" fontId="1" fillId="53" borderId="16" xfId="0" applyNumberFormat="1" applyFont="1" applyFill="1" applyBorder="1"/>
    <x:xf numFmtId="0" fontId="1" fillId="53" borderId="16" xfId="0" applyNumberFormat="1" applyFont="1" applyFill="1" applyBorder="1" applyAlignment="1">
      <x:alignment wrapText="1"/>
    </x:xf>
    <x:xf numFmtId="0" fontId="1" fillId="53" borderId="16" xfId="0" applyNumberFormat="1" applyFont="1" applyFill="1" applyBorder="1" applyAlignment="1">
      <x:alignment vertical="center" wrapText="1"/>
    </x:xf>
    <x:xf numFmtId="0" fontId="2" fillId="50" borderId="13" xfId="0" applyNumberFormat="1" applyFont="1" applyFill="1" applyBorder="1"/>
    <x:xf numFmtId="0" fontId="2" fillId="50" borderId="14" xfId="0" applyNumberFormat="1" applyFont="1" applyFill="1" applyBorder="1"/>
    <x:xf numFmtId="0" fontId="2" fillId="50" borderId="15" xfId="0" applyNumberFormat="1" applyFont="1" applyFill="1" applyBorder="1"/>
    <x:xf numFmtId="0" fontId="2" fillId="50" borderId="13" xfId="0" applyNumberFormat="1" applyFont="1" applyFill="1" applyBorder="1" applyAlignment="1">
      <x:alignment wrapText="1"/>
    </x:xf>
    <x:xf numFmtId="0" fontId="2" fillId="50" borderId="15" xfId="0" applyNumberFormat="1" applyFont="1" applyFill="1" applyBorder="1" applyAlignment="1">
      <x:alignment wrapText="1"/>
    </x:xf>
    <x:xf numFmtId="0" fontId="2" fillId="50" borderId="13" xfId="0" applyNumberFormat="1" applyFont="1" applyFill="1" applyBorder="1" applyAlignment="1">
      <x:alignment vertical="top" wrapText="1"/>
    </x:xf>
    <x:xf numFmtId="0" fontId="2" fillId="50" borderId="14" xfId="0" applyNumberFormat="1" applyFont="1" applyFill="1" applyBorder="1" applyAlignment="1">
      <x:alignment vertical="top" wrapText="1"/>
    </x:xf>
    <x:xf numFmtId="0" fontId="2" fillId="50" borderId="15" xfId="0" applyNumberFormat="1" applyFont="1" applyFill="1" applyBorder="1" applyAlignment="1">
      <x:alignment vertical="top" wrapText="1"/>
    </x:xf>
    <x:xf numFmtId="0" fontId="2" fillId="54" borderId="13" xfId="0" applyNumberFormat="1" applyFont="1" applyFill="1" applyBorder="1" applyAlignment="1">
      <x:alignment vertical="top" wrapText="1"/>
    </x:xf>
    <x:xf numFmtId="0" fontId="2" fillId="54" borderId="14" xfId="0" applyNumberFormat="1" applyFont="1" applyFill="1" applyBorder="1" applyAlignment="1">
      <x:alignment vertical="top" wrapText="1"/>
    </x:xf>
    <x:xf numFmtId="0" fontId="2" fillId="54" borderId="15" xfId="0" applyNumberFormat="1" applyFont="1" applyFill="1" applyBorder="1" applyAlignment="1">
      <x:alignment vertical="top" wrapText="1"/>
    </x:xf>
    <x:xf numFmtId="0" fontId="2" fillId="52" borderId="13" xfId="0" applyNumberFormat="1" applyFont="1" applyFill="1" applyBorder="1" applyAlignment="1">
      <x:alignment vertical="top" wrapText="1"/>
    </x:xf>
    <x:xf numFmtId="0" fontId="2" fillId="52" borderId="14" xfId="0" applyNumberFormat="1" applyFont="1" applyFill="1" applyBorder="1" applyAlignment="1">
      <x:alignment vertical="top" wrapText="1"/>
    </x:xf>
    <x:xf numFmtId="0" fontId="2" fillId="52" borderId="15" xfId="0" applyNumberFormat="1" applyFont="1" applyFill="1" applyBorder="1" applyAlignment="1">
      <x:alignment vertical="top" wrapText="1"/>
    </x:xf>
    <x:xf numFmtId="0" fontId="11" fillId="52" borderId="13" xfId="0" applyNumberFormat="1" applyFont="1" applyFill="1" applyBorder="1" applyAlignment="1">
      <x:alignment vertical="top" wrapText="1"/>
    </x:xf>
    <x:xf numFmtId="0" fontId="11" fillId="52" borderId="14" xfId="0" applyNumberFormat="1" applyFont="1" applyFill="1" applyBorder="1" applyAlignment="1">
      <x:alignment vertical="top" wrapText="1"/>
    </x:xf>
    <x:xf numFmtId="0" fontId="11" fillId="52" borderId="15" xfId="0" applyNumberFormat="1" applyFont="1" applyFill="1" applyBorder="1" applyAlignment="1">
      <x:alignment vertical="top" wrapText="1"/>
    </x:xf>
    <x:xf numFmtId="0" fontId="11" fillId="52" borderId="13" xfId="0" applyNumberFormat="1" applyFont="1" applyFill="1" applyBorder="1" applyAlignment="1">
      <x:alignment vertical="center" wrapText="1"/>
    </x:xf>
    <x:xf numFmtId="0" fontId="2" fillId="45" borderId="13" xfId="0" applyNumberFormat="1" applyFont="1" applyFill="1" applyBorder="1" applyAlignment="1">
      <x:alignment vertical="top" wrapText="1"/>
    </x:xf>
    <x:xf numFmtId="0" fontId="2" fillId="45" borderId="14" xfId="0" applyNumberFormat="1" applyFont="1" applyFill="1" applyBorder="1" applyAlignment="1">
      <x:alignment vertical="top" wrapText="1"/>
    </x:xf>
    <x:xf numFmtId="0" fontId="2" fillId="45" borderId="15" xfId="0" applyNumberFormat="1" applyFont="1" applyFill="1" applyBorder="1" applyAlignment="1">
      <x:alignment vertical="top" wrapText="1"/>
    </x:xf>
    <x:xf numFmtId="0" fontId="29" fillId="45" borderId="13" xfId="0" applyNumberFormat="1" applyFont="1" applyFill="1" applyBorder="1" applyAlignment="1">
      <x:alignment vertical="top" wrapText="1"/>
    </x:xf>
    <x:xf numFmtId="0" fontId="29" fillId="45" borderId="14" xfId="0" applyNumberFormat="1" applyFont="1" applyFill="1" applyBorder="1" applyAlignment="1">
      <x:alignment vertical="top" wrapText="1"/>
    </x:xf>
    <x:xf numFmtId="0" fontId="29" fillId="45" borderId="15" xfId="0" applyNumberFormat="1" applyFont="1" applyFill="1" applyBorder="1" applyAlignment="1">
      <x:alignment vertical="top" wrapText="1"/>
    </x:xf>
    <x:xf numFmtId="0" fontId="29" fillId="45" borderId="13" xfId="0" applyNumberFormat="1" applyFont="1" applyFill="1" applyBorder="1" applyAlignment="1">
      <x:alignment horizontal="center" vertical="top" wrapText="1"/>
    </x:xf>
    <x:xf numFmtId="0" fontId="29" fillId="45" borderId="14" xfId="0" applyNumberFormat="1" applyFont="1" applyFill="1" applyBorder="1" applyAlignment="1">
      <x:alignment horizontal="center" vertical="top" wrapText="1"/>
    </x:xf>
    <x:xf numFmtId="0" fontId="29" fillId="45" borderId="15" xfId="0" applyNumberFormat="1" applyFont="1" applyFill="1" applyBorder="1" applyAlignment="1">
      <x:alignment horizontal="center" vertical="top" wrapText="1"/>
    </x:xf>
    <x:xf numFmtId="0" fontId="29" fillId="45" borderId="13" xfId="0" applyNumberFormat="1" applyFont="1" applyFill="1" applyBorder="1" applyAlignment="1">
      <x:alignment horizontal="center" vertical="center" wrapText="1"/>
    </x:xf>
    <x:xf numFmtId="0" fontId="29" fillId="45" borderId="14" xfId="0" applyNumberFormat="1" applyFont="1" applyFill="1" applyBorder="1" applyAlignment="1">
      <x:alignment horizontal="center" vertical="center" wrapText="1"/>
    </x:xf>
    <x:xf numFmtId="0" fontId="29" fillId="45" borderId="15" xfId="0" applyNumberFormat="1" applyFont="1" applyFill="1" applyBorder="1" applyAlignment="1">
      <x:alignment horizontal="center" vertical="center" wrapText="1"/>
    </x:xf>
    <x:xf numFmtId="0" fontId="2" fillId="55" borderId="14" xfId="0" applyNumberFormat="1" applyFont="1" applyFill="1" applyBorder="1" applyAlignment="1">
      <x:alignment vertical="top" wrapText="1"/>
    </x:xf>
    <x:xf numFmtId="0" fontId="29" fillId="55" borderId="14" xfId="0" applyNumberFormat="1" applyFont="1" applyFill="1" applyBorder="1" applyAlignment="1">
      <x:alignment horizontal="center" vertical="center" wrapText="1"/>
    </x:xf>
    <x:xf numFmtId="0" fontId="29" fillId="52" borderId="14" xfId="0" applyNumberFormat="1" applyFont="1" applyFill="1" applyBorder="1" applyAlignment="1">
      <x:alignment horizontal="center" vertical="center" wrapText="1"/>
    </x:xf>
    <x:xf numFmtId="0" fontId="2" fillId="55" borderId="15" xfId="0" applyNumberFormat="1" applyFont="1" applyFill="1" applyBorder="1" applyAlignment="1">
      <x:alignment vertical="top" wrapText="1"/>
    </x:xf>
    <x:xf numFmtId="0" fontId="29" fillId="55" borderId="15" xfId="0" applyNumberFormat="1" applyFont="1" applyFill="1" applyBorder="1" applyAlignment="1">
      <x:alignment horizontal="center" vertical="center" wrapText="1"/>
    </x:xf>
    <x:xf numFmtId="0" fontId="0" fillId="56" borderId="0" xfId="0" applyNumberFormat="1" applyFont="1" applyFill="1" applyBorder="1"/>
    <x:xf numFmtId="0" fontId="2" fillId="56" borderId="0" xfId="0" applyNumberFormat="1" applyFont="1" applyFill="1" applyBorder="1"/>
    <x:xf numFmtId="0" fontId="2" fillId="56" xfId="0" applyNumberFormat="1" applyFont="1" applyFill="1" applyBorder="0"/>
    <x:xf numFmtId="0" fontId="2" fillId="56" xfId="0" applyNumberFormat="1" applyFont="1" applyFill="1" applyBorder="0" applyAlignment="1">
      <x:alignment wrapText="1"/>
    </x:xf>
    <x:xf numFmtId="0" fontId="2" fillId="56" xfId="0" applyNumberFormat="1" applyFont="1" applyFill="1" applyBorder="0" applyAlignment="1">
      <x:alignment vertical="top" wrapText="1"/>
    </x:xf>
    <x:xf numFmtId="0" fontId="1" fillId="57" borderId="14" xfId="0" applyNumberFormat="1" applyFont="1" applyFill="1" applyBorder="1" applyAlignment="1">
      <x:alignment vertical="center"/>
    </x:xf>
    <x:xf numFmtId="0" fontId="11" fillId="56" borderId="14" xfId="0" applyNumberFormat="1" applyFont="1" applyFill="1" applyBorder="1" applyAlignment="1">
      <x:alignment vertical="center" wrapText="1"/>
    </x:xf>
    <x:xf numFmtId="0" fontId="11" fillId="56" borderId="15" xfId="0" applyNumberFormat="1" applyFont="1" applyFill="1" applyBorder="1" applyAlignment="1">
      <x:alignment vertical="center" wrapText="1"/>
    </x:xf>
    <x:xf numFmtId="0" fontId="11" fillId="56" borderId="14" xfId="0" applyNumberFormat="1" applyFont="1" applyFill="1" applyBorder="1" applyAlignment="1">
      <x:alignment vertical="top" wrapText="1"/>
    </x:xf>
    <x:xf numFmtId="0" fontId="11" fillId="56" borderId="15" xfId="0" applyNumberFormat="1" applyFont="1" applyFill="1" applyBorder="1" applyAlignment="1">
      <x:alignment vertical="top" wrapText="1"/>
    </x:xf>
    <x:xf numFmtId="0" fontId="11" fillId="56" borderId="13" xfId="0" applyNumberFormat="1" applyFont="1" applyFill="1" applyBorder="1" applyAlignment="1">
      <x:alignment vertical="center" wrapText="1"/>
    </x:xf>
    <x:xf numFmtId="0" fontId="0" fillId="58" borderId="0" xfId="0" applyNumberFormat="1" applyFont="1" applyFill="1" applyBorder="1"/>
    <x:xf numFmtId="0" fontId="1" fillId="58" borderId="0" xfId="0" applyNumberFormat="1" applyFont="1" applyFill="1" applyBorder="1"/>
    <x:xf numFmtId="0" fontId="1" fillId="58" borderId="0" xfId="0" applyNumberFormat="1" applyFont="1" applyFill="1" applyBorder="1" applyAlignment="1">
      <x:alignment vertical="center"/>
    </x:xf>
    <x:xf numFmtId="0" fontId="0" fillId="59" borderId="0" xfId="0" applyNumberFormat="1" applyFont="1" applyFill="1" applyBorder="1"/>
    <x:xf numFmtId="0" fontId="27" fillId="59" borderId="0" xfId="0" applyNumberFormat="1" applyFont="1" applyFill="1" applyBorder="1"/>
    <x:xf numFmtId="0" fontId="27" fillId="59" borderId="0" xfId="0" applyNumberFormat="1" applyFont="1" applyFill="1" applyBorder="1" applyAlignment="1">
      <x:alignment wrapText="1"/>
    </x:xf>
    <x:xf numFmtId="0" fontId="27" fillId="59" borderId="0" xfId="0" applyNumberFormat="1" applyFont="1" applyFill="1" applyBorder="1" applyAlignment="1">
      <x:alignment vertical="center" wrapText="1"/>
    </x:xf>
    <x:xf numFmtId="0" fontId="0" fillId="60" borderId="0" xfId="0" applyNumberFormat="1" applyFont="1" applyFill="1" applyBorder="1"/>
    <x:xf numFmtId="0" fontId="11" fillId="60" borderId="0" xfId="0" applyNumberFormat="1" applyFont="1" applyFill="1" applyBorder="1"/>
    <x:xf numFmtId="0" fontId="11" fillId="60" borderId="0" xfId="0" applyNumberFormat="1" applyFont="1" applyFill="1" applyBorder="1" applyAlignment="1">
      <x:alignment wrapText="1"/>
    </x:xf>
    <x:xf numFmtId="0" fontId="11" fillId="60" borderId="0" xfId="0" applyNumberFormat="1" applyFont="1" applyFill="1" applyBorder="1" applyAlignment="1">
      <x:alignment vertical="center" wrapText="1"/>
    </x:xf>
    <x:xf numFmtId="0" fontId="0" fillId="61" borderId="0" xfId="0" applyNumberFormat="1" applyFont="1" applyFill="1" applyBorder="1"/>
    <x:xf numFmtId="0" fontId="2" fillId="61" borderId="0" xfId="0" applyNumberFormat="1" applyFont="1" applyFill="1" applyBorder="1"/>
    <x:xf numFmtId="0" fontId="2" fillId="61" borderId="0" xfId="0" applyNumberFormat="1" applyFont="1" applyFill="1" applyBorder="1" applyAlignment="1">
      <x:alignment wrapText="1"/>
    </x:xf>
    <x:xf numFmtId="0" fontId="2" fillId="61" borderId="0" xfId="0" applyNumberFormat="1" applyFont="1" applyFill="1" applyBorder="1" applyAlignment="1">
      <x:alignment vertical="center" wrapText="1"/>
    </x:xf>
    <x:xf numFmtId="0" fontId="2" fillId="62" borderId="0" xfId="0" applyNumberFormat="1" applyFont="1" applyFill="1" applyBorder="1" applyAlignment="1">
      <x:alignment vertical="center" wrapText="1"/>
    </x:xf>
    <x:xf numFmtId="0" fontId="30" fillId="62" borderId="0" xfId="0" applyNumberFormat="1" applyFont="1" applyFill="1" applyBorder="1" applyAlignment="1">
      <x:alignment vertical="center" wrapText="1"/>
    </x:xf>
    <x:xf numFmtId="0" fontId="30" fillId="62" borderId="0" xfId="0" applyNumberFormat="1" applyFont="1" applyFill="1" applyBorder="1" applyAlignment="1">
      <x:alignment horizontal="center" vertical="center" wrapText="1"/>
    </x:xf>
    <x:xf numFmtId="0" fontId="0" fillId="63" borderId="0" xfId="0" applyNumberFormat="1" applyFont="1" applyFill="1" applyBorder="1"/>
    <x:xf numFmtId="0" fontId="1" fillId="63" borderId="0" xfId="0" applyNumberFormat="1" applyFont="1" applyFill="1" applyBorder="1"/>
    <x:xf numFmtId="0" fontId="1" fillId="63" borderId="0" xfId="0" applyNumberFormat="1" applyFont="1" applyFill="1" applyBorder="1" applyAlignment="1">
      <x:alignment vertical="center"/>
    </x:xf>
    <x:xf numFmtId="0" fontId="0" fillId="64" borderId="0" xfId="0" applyNumberFormat="1" applyFont="1" applyFill="1" applyBorder="1"/>
    <x:xf numFmtId="0" fontId="2" fillId="64" borderId="0" xfId="0" applyNumberFormat="1" applyFont="1" applyFill="1" applyBorder="1"/>
    <x:xf numFmtId="0" fontId="2" fillId="64" borderId="0" xfId="0" applyNumberFormat="1" applyFont="1" applyFill="1" applyBorder="1" applyAlignment="1">
      <x:alignment wrapText="1"/>
    </x:xf>
    <x:xf numFmtId="0" fontId="11" fillId="60" borderId="0" xfId="0" applyNumberFormat="1" applyFont="1" applyFill="1" applyBorder="1" applyAlignment="1">
      <x:alignment horizontal="right"/>
    </x:xf>
    <x:xf numFmtId="0" fontId="31" fillId="56" borderId="0" xfId="0" applyNumberFormat="1" applyFont="1" applyFill="1" applyBorder="1"/>
    <x:xf numFmtId="0" fontId="31" fillId="56" borderId="0" xfId="0" applyNumberFormat="1" applyFont="1" applyFill="1" applyBorder="1" applyAlignment="1">
      <x:alignment horizontal="center"/>
    </x:xf>
    <x:xf numFmtId="0" fontId="31" fillId="56" borderId="0" xfId="0" applyNumberFormat="1" applyFont="1" applyFill="1" applyBorder="1" applyAlignment="1">
      <x:alignment horizontal="center" vertical="center"/>
    </x:xf>
    <x:xf numFmtId="0" fontId="2" fillId="61" borderId="0" xfId="0" applyNumberFormat="1" applyFont="1" applyFill="1" applyBorder="1" applyAlignment="1">
      <x:alignment vertical="top" wrapText="1"/>
    </x:xf>
    <x:xf numFmtId="0" fontId="0" fillId="65" borderId="0" xfId="0" applyNumberFormat="1" applyFont="1" applyFill="1" applyBorder="1"/>
    <x:xf numFmtId="0" fontId="1" fillId="65" borderId="0" xfId="0" applyNumberFormat="1" applyFont="1" applyFill="1" applyBorder="1"/>
    <x:xf numFmtId="0" fontId="0" fillId="66" borderId="0" xfId="0" applyNumberFormat="1" applyFont="1" applyFill="1" applyBorder="1"/>
    <x:xf numFmtId="0" fontId="2" fillId="66" borderId="0" xfId="0" applyNumberFormat="1" applyFont="1" applyFill="1" applyBorder="1"/>
    <x:xf numFmtId="0" fontId="2" fillId="66" borderId="1" xfId="0" applyNumberFormat="1" applyFont="1" applyFill="1" applyBorder="1"/>
    <x:xf numFmtId="0" fontId="2" fillId="66" borderId="1" xfId="0" applyNumberFormat="1" applyFont="1" applyFill="1" applyBorder="1" applyAlignment="1">
      <x:alignment wrapText="1"/>
    </x:xf>
    <x:xf numFmtId="0" fontId="2" fillId="66" borderId="1" xfId="0" applyNumberFormat="1" applyFont="1" applyFill="1" applyBorder="1" applyAlignment="1">
      <x:alignment vertical="top" wrapText="1"/>
    </x:xf>
    <x:xf numFmtId="0" fontId="28" fillId="66" borderId="1" xfId="0" applyNumberFormat="1" applyFont="1" applyFill="1" applyBorder="1" applyAlignment="1">
      <x:alignment vertical="top" wrapText="1"/>
    </x:xf>
    <x:xf numFmtId="0" fontId="11" fillId="66" borderId="1" xfId="0" applyNumberFormat="1" applyFont="1" applyFill="1" applyBorder="1" applyAlignment="1">
      <x:alignment vertical="top" wrapText="1"/>
    </x:xf>
    <x:xf numFmtId="0" fontId="2" fillId="61" borderId="1" xfId="0" applyNumberFormat="1" applyFont="1" applyFill="1" applyBorder="1"/>
    <x:xf numFmtId="0" fontId="2" fillId="61" borderId="1" xfId="0" applyNumberFormat="1" applyFont="1" applyFill="1" applyBorder="1" applyAlignment="1">
      <x:alignment wrapText="1"/>
    </x:xf>
    <x:xf numFmtId="0" fontId="2" fillId="61" borderId="1" xfId="0" applyNumberFormat="1" applyFont="1" applyFill="1" applyBorder="1" applyAlignment="1">
      <x:alignment vertical="top" wrapText="1"/>
    </x:xf>
    <x:xf numFmtId="0" fontId="28" fillId="61" borderId="1" xfId="0" applyNumberFormat="1" applyFont="1" applyFill="1" applyBorder="1" applyAlignment="1">
      <x:alignment vertical="top" wrapText="1"/>
    </x:xf>
    <x:xf numFmtId="0" fontId="11" fillId="61" borderId="1" xfId="0" applyNumberFormat="1" applyFont="1" applyFill="1" applyBorder="1" applyAlignment="1">
      <x:alignment vertical="top" wrapText="1"/>
    </x:xf>
    <x:xf numFmtId="0" fontId="0" fillId="67" borderId="0" xfId="0" applyNumberFormat="1" applyFont="1" applyFill="1" applyBorder="1"/>
    <x:xf numFmtId="0" fontId="1" fillId="67" borderId="0" xfId="0" applyNumberFormat="1" applyFont="1" applyFill="1" applyBorder="1"/>
    <x:xf numFmtId="0" fontId="0" fillId="62" borderId="0" xfId="0" applyNumberFormat="1" applyFont="1" applyFill="1" applyBorder="1"/>
    <x:xf numFmtId="0" fontId="11" fillId="62" borderId="0" xfId="0" applyNumberFormat="1" applyFont="1" applyFill="1" applyBorder="1"/>
    <x:xf numFmtId="0" fontId="11" fillId="62" borderId="0" xfId="0" applyNumberFormat="1" applyFont="1" applyFill="1" applyBorder="1" applyAlignment="1">
      <x:alignment wrapText="1"/>
    </x:xf>
    <x:xf numFmtId="0" fontId="11" fillId="62" borderId="0" xfId="0" applyNumberFormat="1" applyFont="1" applyFill="1" applyBorder="1" applyAlignment="1">
      <x:alignment vertical="top" wrapText="1"/>
    </x:xf>
    <x:xf numFmtId="0" fontId="0" fillId="68" borderId="0" xfId="0" applyNumberFormat="1" applyFont="1" applyFill="1" applyBorder="1"/>
    <x:xf numFmtId="0" fontId="11" fillId="68" borderId="0" xfId="0" applyNumberFormat="1" applyFont="1" applyFill="1" applyBorder="1"/>
    <x:xf numFmtId="0" fontId="0" fillId="69" borderId="0" xfId="0" applyNumberFormat="1" applyFont="1" applyFill="1" applyBorder="1"/>
    <x:xf numFmtId="0" fontId="2" fillId="69" borderId="0" xfId="0" applyNumberFormat="1" applyFont="1" applyFill="1" applyBorder="1"/>
    <x:xf numFmtId="0" fontId="2" fillId="69" borderId="0" xfId="0" applyNumberFormat="1" applyFont="1" applyFill="1" applyBorder="1" applyAlignment="1">
      <x:alignment wrapText="1"/>
    </x:xf>
    <x:xf numFmtId="0" fontId="2" fillId="69" borderId="0" xfId="0" applyNumberFormat="1" applyFont="1" applyFill="1" applyBorder="1" applyAlignment="1">
      <x:alignment vertical="top" wrapText="1"/>
    </x:xf>
    <x:xf numFmtId="0" fontId="1" fillId="65" borderId="10" xfId="0" applyNumberFormat="1" applyFont="1" applyFill="1" applyBorder="1"/>
    <x:xf numFmtId="0" fontId="1" fillId="65" borderId="11" xfId="0" applyNumberFormat="1" applyFont="1" applyFill="1" applyBorder="1"/>
    <x:xf numFmtId="0" fontId="1" fillId="65" borderId="12" xfId="0" applyNumberFormat="1" applyFont="1" applyFill="1" applyBorder="1"/>
    <x:xf numFmtId="0" fontId="1" fillId="65" borderId="10" xfId="0" applyNumberFormat="1" applyFont="1" applyFill="1" applyBorder="1" applyAlignment="1">
      <x:alignment wrapText="1"/>
    </x:xf>
    <x:xf numFmtId="0" fontId="1" fillId="65" borderId="11" xfId="0" applyNumberFormat="1" applyFont="1" applyFill="1" applyBorder="1" applyAlignment="1">
      <x:alignment wrapText="1"/>
    </x:xf>
    <x:xf numFmtId="0" fontId="1" fillId="65" borderId="12" xfId="0" applyNumberFormat="1" applyFont="1" applyFill="1" applyBorder="1" applyAlignment="1">
      <x:alignment wrapText="1"/>
    </x:xf>
    <x:xf numFmtId="0" fontId="1" fillId="65" borderId="10" xfId="0" applyNumberFormat="1" applyFont="1" applyFill="1" applyBorder="1" applyAlignment="1">
      <x:alignment vertical="center" wrapText="1"/>
    </x:xf>
    <x:xf numFmtId="0" fontId="1" fillId="65" borderId="11" xfId="0" applyNumberFormat="1" applyFont="1" applyFill="1" applyBorder="1" applyAlignment="1">
      <x:alignment vertical="center" wrapText="1"/>
    </x:xf>
    <x:xf numFmtId="0" fontId="1" fillId="65" borderId="12" xfId="0" applyNumberFormat="1" applyFont="1" applyFill="1" applyBorder="1" applyAlignment="1">
      <x:alignment vertical="center" wrapText="1"/>
    </x:xf>
    <x:xf numFmtId="0" fontId="2" fillId="61" borderId="2" xfId="0" applyNumberFormat="1" applyFont="1" applyFill="1" applyBorder="1" applyAlignment="1">
      <x:alignment vertical="top" wrapText="1"/>
    </x:xf>
    <x:xf numFmtId="0" fontId="2" fillId="66" borderId="2" xfId="0" applyNumberFormat="1" applyFont="1" applyFill="1" applyBorder="1" applyAlignment="1">
      <x:alignment vertical="top" wrapText="1"/>
    </x:xf>
    <x:xf numFmtId="0" fontId="2" fillId="66" borderId="3" xfId="0" applyNumberFormat="1" applyFont="1" applyFill="1" applyBorder="1" applyAlignment="1">
      <x:alignment vertical="top" wrapText="1"/>
    </x:xf>
    <x:xf numFmtId="0" fontId="2" fillId="56" borderId="1" xfId="0" applyNumberFormat="1" applyFont="1" applyFill="1" applyBorder="1" applyAlignment="1">
      <x:alignment vertical="top" wrapText="1"/>
    </x:xf>
    <x:xf numFmtId="0" fontId="2" fillId="56" borderId="2" xfId="0" applyNumberFormat="1" applyFont="1" applyFill="1" applyBorder="1" applyAlignment="1">
      <x:alignment vertical="top" wrapText="1"/>
    </x:xf>
    <x:xf numFmtId="0" fontId="2" fillId="56" borderId="3" xfId="0" applyNumberFormat="1" applyFont="1" applyFill="1" applyBorder="1" applyAlignment="1">
      <x:alignment vertical="top" wrapText="1"/>
    </x:xf>
    <x:xf numFmtId="0" fontId="31" fillId="56" borderId="1" xfId="0" applyNumberFormat="1" applyFont="1" applyFill="1" applyBorder="1" applyAlignment="1">
      <x:alignment vertical="top" wrapText="1"/>
    </x:xf>
    <x:xf numFmtId="0" fontId="31" fillId="56" borderId="2" xfId="0" applyNumberFormat="1" applyFont="1" applyFill="1" applyBorder="1" applyAlignment="1">
      <x:alignment vertical="top" wrapText="1"/>
    </x:xf>
    <x:xf numFmtId="0" fontId="31" fillId="56" borderId="3" xfId="0" applyNumberFormat="1" applyFont="1" applyFill="1" applyBorder="1" applyAlignment="1">
      <x:alignment vertical="top" wrapText="1"/>
    </x:xf>
    <x:xf numFmtId="0" fontId="31" fillId="56" borderId="1" xfId="0" applyNumberFormat="1" applyFont="1" applyFill="1" applyBorder="1" applyAlignment="1">
      <x:alignment vertical="center" wrapText="1"/>
    </x:xf>
    <x:xf numFmtId="0" fontId="31" fillId="56" borderId="2" xfId="0" applyNumberFormat="1" applyFont="1" applyFill="1" applyBorder="1" applyAlignment="1">
      <x:alignment vertical="center" wrapText="1"/>
    </x:xf>
    <x:xf numFmtId="0" fontId="31" fillId="56" borderId="3" xfId="0" applyNumberFormat="1" applyFont="1" applyFill="1" applyBorder="1" applyAlignment="1">
      <x:alignment vertical="center" wrapText="1"/>
    </x:xf>
    <x:xf numFmtId="0" fontId="2" fillId="69" borderId="1" xfId="0" applyNumberFormat="1" applyFont="1" applyFill="1" applyBorder="1" applyAlignment="1">
      <x:alignment vertical="top" wrapText="1"/>
    </x:xf>
    <x:xf numFmtId="0" fontId="2" fillId="69" borderId="2" xfId="0" applyNumberFormat="1" applyFont="1" applyFill="1" applyBorder="1" applyAlignment="1">
      <x:alignment vertical="top" wrapText="1"/>
    </x:xf>
    <x:xf numFmtId="0" fontId="2" fillId="69" borderId="3" xfId="0" applyNumberFormat="1" applyFont="1" applyFill="1" applyBorder="1" applyAlignment="1">
      <x:alignment vertical="top" wrapText="1"/>
    </x:xf>
    <x:xf numFmtId="0" fontId="11" fillId="69" borderId="1" xfId="0" applyNumberFormat="1" applyFont="1" applyFill="1" applyBorder="1" applyAlignment="1">
      <x:alignment vertical="top" wrapText="1"/>
    </x:xf>
    <x:xf numFmtId="0" fontId="11" fillId="69" borderId="2" xfId="0" applyNumberFormat="1" applyFont="1" applyFill="1" applyBorder="1" applyAlignment="1">
      <x:alignment vertical="top" wrapText="1"/>
    </x:xf>
    <x:xf numFmtId="0" fontId="11" fillId="69" borderId="3" xfId="0" applyNumberFormat="1" applyFont="1" applyFill="1" applyBorder="1" applyAlignment="1">
      <x:alignment vertical="top" wrapText="1"/>
    </x:xf>
    <x:xf numFmtId="0" fontId="11" fillId="69" borderId="1" xfId="0" applyNumberFormat="1" applyFont="1" applyFill="1" applyBorder="1" applyAlignment="1">
      <x:alignment vertical="center" wrapText="1"/>
    </x:xf>
    <x:xf numFmtId="0" fontId="11" fillId="69" borderId="2" xfId="0" applyNumberFormat="1" applyFont="1" applyFill="1" applyBorder="1" applyAlignment="1">
      <x:alignment vertical="center" wrapText="1"/>
    </x:xf>
    <x:xf numFmtId="0" fontId="11" fillId="69" borderId="3" xfId="0" applyNumberFormat="1" applyFont="1" applyFill="1" applyBorder="1" applyAlignment="1">
      <x:alignment vertical="center" wrapText="1"/>
    </x:xf>
    <x:xf numFmtId="0" fontId="2" fillId="61" borderId="3" xfId="0" applyNumberFormat="1" applyFont="1" applyFill="1" applyBorder="1" applyAlignment="1">
      <x:alignment vertical="top" wrapText="1"/>
    </x:xf>
    <x:xf numFmtId="0" fontId="28" fillId="61" borderId="2" xfId="0" applyNumberFormat="1" applyFont="1" applyFill="1" applyBorder="1" applyAlignment="1">
      <x:alignment vertical="top" wrapText="1"/>
    </x:xf>
    <x:xf numFmtId="0" fontId="28" fillId="66" borderId="2" xfId="0" applyNumberFormat="1" applyFont="1" applyFill="1" applyBorder="1" applyAlignment="1">
      <x:alignment vertical="top" wrapText="1"/>
    </x:xf>
    <x:xf numFmtId="0" fontId="28" fillId="61" borderId="3" xfId="0" applyNumberFormat="1" applyFont="1" applyFill="1" applyBorder="1" applyAlignment="1">
      <x:alignment vertical="top" wrapText="1"/>
    </x:xf>
    <x:xf numFmtId="0" fontId="28" fillId="66" borderId="1" xfId="0" applyNumberFormat="1" applyFont="1" applyFill="1" applyBorder="1" applyAlignment="1">
      <x:alignment horizontal="center" vertical="top" wrapText="1"/>
    </x:xf>
    <x:xf numFmtId="0" fontId="28" fillId="61" borderId="2" xfId="0" applyNumberFormat="1" applyFont="1" applyFill="1" applyBorder="1" applyAlignment="1">
      <x:alignment horizontal="center" vertical="top" wrapText="1"/>
    </x:xf>
    <x:xf numFmtId="0" fontId="28" fillId="66" borderId="2" xfId="0" applyNumberFormat="1" applyFont="1" applyFill="1" applyBorder="1" applyAlignment="1">
      <x:alignment horizontal="center" vertical="top" wrapText="1"/>
    </x:xf>
    <x:xf numFmtId="0" fontId="28" fillId="61" borderId="3" xfId="0" applyNumberFormat="1" applyFont="1" applyFill="1" applyBorder="1" applyAlignment="1">
      <x:alignment horizontal="center" vertical="top" wrapText="1"/>
    </x:xf>
    <x:xf numFmtId="0" fontId="28" fillId="66" borderId="1" xfId="0" applyNumberFormat="1" applyFont="1" applyFill="1" applyBorder="1" applyAlignment="1">
      <x:alignment horizontal="center" vertical="center" wrapText="1"/>
    </x:xf>
    <x:xf numFmtId="0" fontId="28" fillId="61" borderId="2" xfId="0" applyNumberFormat="1" applyFont="1" applyFill="1" applyBorder="1" applyAlignment="1">
      <x:alignment horizontal="center" vertical="center" wrapText="1"/>
    </x:xf>
    <x:xf numFmtId="0" fontId="28" fillId="66" borderId="2" xfId="0" applyNumberFormat="1" applyFont="1" applyFill="1" applyBorder="1" applyAlignment="1">
      <x:alignment horizontal="center" vertical="center" wrapText="1"/>
    </x:xf>
    <x:xf numFmtId="0" fontId="28" fillId="61" borderId="3" xfId="0" applyNumberFormat="1" applyFont="1" applyFill="1" applyBorder="1" applyAlignment="1">
      <x:alignment horizontal="center" vertical="center" wrapText="1"/>
    </x:xf>
    <x:xf numFmtId="0" fontId="11" fillId="60" borderId="0" xfId="0" applyNumberFormat="1" applyFont="1" applyFill="1" applyBorder="1" applyAlignment="1">
      <x:alignment vertical="top" wrapText="1"/>
    </x:xf>
    <x:xf numFmtId="0" fontId="2" fillId="62" borderId="0" xfId="0" applyNumberFormat="1" applyFont="1" applyFill="1" applyBorder="1" applyAlignment="1">
      <x:alignment vertical="top" wrapText="1"/>
    </x:xf>
    <x:xf numFmtId="0" fontId="30" fillId="62" borderId="0" xfId="0" applyNumberFormat="1" applyFont="1" applyFill="1" applyBorder="1" applyAlignment="1">
      <x:alignment vertical="top" wrapText="1"/>
    </x:xf>
    <x:xf numFmtId="0" fontId="30" fillId="62" borderId="0" xfId="0" applyNumberFormat="1" applyFont="1" applyFill="1" applyBorder="1" applyAlignment="1">
      <x:alignment horizontal="center" vertical="top" wrapText="1"/>
    </x:xf>
    <x:xf numFmtId="0" fontId="1" fillId="67" borderId="0" xfId="0" applyNumberFormat="1" applyFont="1" applyFill="1" applyBorder="1" applyAlignment="1">
      <x:alignment horizontal="center"/>
    </x:xf>
    <x:xf numFmtId="0" fontId="1" fillId="67" borderId="0" xfId="0" applyNumberFormat="1" applyFont="1" applyFill="1" applyBorder="1" applyAlignment="1">
      <x:alignment horizontal="center" vertical="center"/>
    </x:xf>
    <x:xf numFmtId="0" fontId="2" fillId="62" borderId="0" xfId="0" applyNumberFormat="1" applyFont="1" applyFill="1" applyBorder="1"/>
    <x:xf numFmtId="0" fontId="2" fillId="62" borderId="0" xfId="0" applyNumberFormat="1" applyFont="1" applyFill="1" applyBorder="1" applyAlignment="1">
      <x:alignment wrapText="1"/>
    </x:xf>
    <x:xf numFmtId="0" fontId="31" fillId="56" borderId="1" xfId="0" applyNumberFormat="1" applyFont="1" applyFill="1" applyBorder="1" applyAlignment="1">
      <x:alignment horizontal="center" vertical="top" wrapText="1"/>
    </x:xf>
    <x:xf numFmtId="0" fontId="31" fillId="56" borderId="1" xfId="0" applyNumberFormat="1" applyFont="1" applyFill="1" applyBorder="1" applyAlignment="1">
      <x:alignment horizontal="center" vertical="center" wrapText="1"/>
    </x:xf>
    <x:xf numFmtId="0" fontId="31" fillId="56" borderId="2" xfId="0" applyNumberFormat="1" applyFont="1" applyFill="1" applyBorder="1" applyAlignment="1">
      <x:alignment horizontal="center" vertical="top" wrapText="1"/>
    </x:xf>
    <x:xf numFmtId="0" fontId="31" fillId="56" borderId="2" xfId="0" applyNumberFormat="1" applyFont="1" applyFill="1" applyBorder="1" applyAlignment="1">
      <x:alignment horizontal="center" vertical="center" wrapText="1"/>
    </x:xf>
    <x:xf numFmtId="0" fontId="11" fillId="69" borderId="2" xfId="0" applyNumberFormat="1" applyFont="1" applyFill="1" applyBorder="1" applyAlignment="1">
      <x:alignment horizontal="center" vertical="top" wrapText="1"/>
    </x:xf>
    <x:xf numFmtId="0" fontId="11" fillId="69" borderId="2" xfId="0" applyNumberFormat="1" applyFont="1" applyFill="1" applyBorder="1" applyAlignment="1">
      <x:alignment horizontal="center" vertical="center" wrapText="1"/>
    </x:xf>
    <x:xf numFmtId="0" fontId="11" fillId="69" borderId="3" xfId="0" applyNumberFormat="1" applyFont="1" applyFill="1" applyBorder="1" applyAlignment="1">
      <x:alignment horizontal="center" vertical="top" wrapText="1"/>
    </x:xf>
    <x:xf numFmtId="0" fontId="11" fillId="69" borderId="3" xfId="0" applyNumberFormat="1" applyFont="1" applyFill="1" applyBorder="1" applyAlignment="1">
      <x:alignment horizontal="center" vertical="center" wrapText="1"/>
    </x:xf>
    <x:xf numFmtId="0" fontId="11" fillId="68" borderId="0" xfId="0" applyNumberFormat="1" applyFont="1" applyFill="1" applyBorder="1" applyAlignment="1">
      <x:alignment wrapText="1"/>
    </x:xf>
    <x:xf numFmtId="0" fontId="11" fillId="68" borderId="0" xfId="0" applyNumberFormat="1" applyFont="1" applyFill="1" applyBorder="1" applyAlignment="1">
      <x:alignment vertical="center" wrapText="1"/>
    </x:xf>
    <x:xf numFmtId="0" fontId="0" fillId="70" borderId="0" xfId="0" applyNumberFormat="1" applyFont="1" applyFill="1" applyBorder="1"/>
    <x:xf numFmtId="0" fontId="2" fillId="70" borderId="0" xfId="0" applyNumberFormat="1" applyFont="1" applyFill="1" applyBorder="1"/>
    <x:xf numFmtId="0" fontId="2" fillId="70" borderId="1" xfId="0" applyNumberFormat="1" applyFont="1" applyFill="1" applyBorder="1"/>
    <x:xf numFmtId="0" fontId="2" fillId="70" borderId="1" xfId="0" applyNumberFormat="1" applyFont="1" applyFill="1" applyBorder="1" applyAlignment="1">
      <x:alignment wrapText="1"/>
    </x:xf>
    <x:xf numFmtId="0" fontId="2" fillId="70" borderId="1" xfId="0" applyNumberFormat="1" applyFont="1" applyFill="1" applyBorder="1" applyAlignment="1">
      <x:alignment vertical="top" wrapText="1"/>
    </x:xf>
    <x:xf numFmtId="0" fontId="31" fillId="70" borderId="2" xfId="0" applyNumberFormat="1" applyFont="1" applyFill="1" applyBorder="1" applyAlignment="1">
      <x:alignment horizontal="center" vertical="center" wrapText="1"/>
    </x:xf>
    <x:xf numFmtId="0" fontId="32" fillId="70" borderId="2" xfId="0" applyNumberFormat="1" applyFont="1" applyFill="1" applyBorder="1" applyAlignment="1">
      <x:alignment horizontal="center" vertical="center" wrapText="1"/>
    </x:xf>
    <x:xf numFmtId="0" fontId="11" fillId="71" borderId="2" xfId="0" applyNumberFormat="1" applyFont="1" applyFill="1" applyBorder="1" applyAlignment="1">
      <x:alignment horizontal="center" vertical="center" wrapText="1"/>
    </x:xf>
    <x:xf numFmtId="0" fontId="0" fillId="72" borderId="0" xfId="0" applyNumberFormat="1" applyFont="1" applyFill="1" applyBorder="1"/>
    <x:xf numFmtId="0" fontId="1" fillId="72" borderId="0" xfId="0" applyNumberFormat="1" applyFont="1" applyFill="1" applyBorder="1"/>
    <x:xf numFmtId="0" fontId="1" fillId="72" borderId="0" xfId="0" applyNumberFormat="1" applyFont="1" applyFill="1" applyBorder="1" applyAlignment="1">
      <x:alignment vertical="center"/>
    </x:xf>
    <x:xf numFmtId="0" fontId="0" fillId="73" borderId="0" xfId="0" applyNumberFormat="1" applyFont="1" applyFill="1" applyBorder="1"/>
    <x:xf numFmtId="0" fontId="27" fillId="73" borderId="0" xfId="0" applyNumberFormat="1" applyFont="1" applyFill="1" applyBorder="1"/>
    <x:xf numFmtId="0" fontId="27" fillId="73" borderId="0" xfId="0" applyNumberFormat="1" applyFont="1" applyFill="1" applyBorder="1" applyAlignment="1">
      <x:alignment wrapText="1"/>
    </x:xf>
    <x:xf numFmtId="0" fontId="27" fillId="73" borderId="0" xfId="0" applyNumberFormat="1" applyFont="1" applyFill="1" applyBorder="1" applyAlignment="1">
      <x:alignment vertical="center" wrapText="1"/>
    </x:xf>
    <x:xf numFmtId="0" fontId="0" fillId="74" borderId="0" xfId="0" applyNumberFormat="1" applyFont="1" applyFill="1" applyBorder="1"/>
    <x:xf numFmtId="0" fontId="11" fillId="74" borderId="0" xfId="0" applyNumberFormat="1" applyFont="1" applyFill="1" applyBorder="1"/>
    <x:xf numFmtId="0" fontId="11" fillId="74" borderId="0" xfId="0" applyNumberFormat="1" applyFont="1" applyFill="1" applyBorder="1" applyAlignment="1">
      <x:alignment wrapText="1"/>
    </x:xf>
    <x:xf numFmtId="0" fontId="11" fillId="74" borderId="0" xfId="0" applyNumberFormat="1" applyFont="1" applyFill="1" applyBorder="1" applyAlignment="1">
      <x:alignment vertical="center" wrapText="1"/>
    </x:xf>
    <x:xf numFmtId="0" fontId="0" fillId="75" borderId="0" xfId="0" applyNumberFormat="1" applyFont="1" applyFill="1" applyBorder="1"/>
    <x:xf numFmtId="0" fontId="2" fillId="75" borderId="0" xfId="0" applyNumberFormat="1" applyFont="1" applyFill="1" applyBorder="1"/>
    <x:xf numFmtId="0" fontId="2" fillId="75" borderId="0" xfId="0" applyNumberFormat="1" applyFont="1" applyFill="1" applyBorder="1" applyAlignment="1">
      <x:alignment wrapText="1"/>
    </x:xf>
    <x:xf numFmtId="0" fontId="2" fillId="75" borderId="0" xfId="0" applyNumberFormat="1" applyFont="1" applyFill="1" applyBorder="1" applyAlignment="1">
      <x:alignment vertical="center" wrapText="1"/>
    </x:xf>
    <x:xf numFmtId="0" fontId="0" fillId="76" borderId="0" xfId="0" applyNumberFormat="1" applyFont="1" applyFill="1" applyBorder="1"/>
    <x:xf numFmtId="0" fontId="1" fillId="76" borderId="0" xfId="0" applyNumberFormat="1" applyFont="1" applyFill="1" applyBorder="1"/>
    <x:xf numFmtId="0" fontId="11" fillId="74" borderId="0" xfId="0" applyNumberFormat="1" applyFont="1" applyFill="1" applyBorder="1" applyAlignment="1">
      <x:alignment horizontal="right"/>
    </x:xf>
    <x:xf numFmtId="0" fontId="32" fillId="70" borderId="0" xfId="0" applyNumberFormat="1" applyFont="1" applyFill="1" applyBorder="1"/>
    <x:xf numFmtId="0" fontId="32" fillId="70" borderId="0" xfId="0" applyNumberFormat="1" applyFont="1" applyFill="1" applyBorder="1" applyAlignment="1">
      <x:alignment horizontal="center"/>
    </x:xf>
    <x:xf numFmtId="0" fontId="2" fillId="75" borderId="0" xfId="0" applyNumberFormat="1" applyFont="1" applyFill="1" applyBorder="1" applyAlignment="1">
      <x:alignment vertical="top" wrapText="1"/>
    </x:xf>
    <x:xf numFmtId="0" fontId="0" fillId="77" borderId="0" xfId="0" applyNumberFormat="1" applyFont="1" applyFill="1" applyBorder="1"/>
    <x:xf numFmtId="0" fontId="1" fillId="77" borderId="0" xfId="0" applyNumberFormat="1" applyFont="1" applyFill="1" applyBorder="1"/>
    <x:xf numFmtId="0" fontId="1" fillId="77" borderId="10" xfId="0" applyNumberFormat="1" applyFont="1" applyFill="1" applyBorder="1"/>
    <x:xf numFmtId="0" fontId="1" fillId="77" borderId="11" xfId="0" applyNumberFormat="1" applyFont="1" applyFill="1" applyBorder="1"/>
    <x:xf numFmtId="0" fontId="1" fillId="77" borderId="12" xfId="0" applyNumberFormat="1" applyFont="1" applyFill="1" applyBorder="1"/>
    <x:xf numFmtId="0" fontId="1" fillId="77" borderId="10" xfId="0" applyNumberFormat="1" applyFont="1" applyFill="1" applyBorder="1" applyAlignment="1">
      <x:alignment wrapText="1"/>
    </x:xf>
    <x:xf numFmtId="0" fontId="1" fillId="77" borderId="11" xfId="0" applyNumberFormat="1" applyFont="1" applyFill="1" applyBorder="1" applyAlignment="1">
      <x:alignment wrapText="1"/>
    </x:xf>
    <x:xf numFmtId="0" fontId="1" fillId="77" borderId="12" xfId="0" applyNumberFormat="1" applyFont="1" applyFill="1" applyBorder="1" applyAlignment="1">
      <x:alignment wrapText="1"/>
    </x:xf>
    <x:xf numFmtId="0" fontId="1" fillId="77" borderId="10" xfId="0" applyNumberFormat="1" applyFont="1" applyFill="1" applyBorder="1" applyAlignment="1">
      <x:alignment vertical="center" wrapText="1"/>
    </x:xf>
    <x:xf numFmtId="0" fontId="1" fillId="77" borderId="11" xfId="0" applyNumberFormat="1" applyFont="1" applyFill="1" applyBorder="1" applyAlignment="1">
      <x:alignment vertical="center" wrapText="1"/>
    </x:xf>
    <x:xf numFmtId="0" fontId="1" fillId="77" borderId="12" xfId="0" applyNumberFormat="1" applyFont="1" applyFill="1" applyBorder="1" applyAlignment="1">
      <x:alignment vertical="center" wrapText="1"/>
    </x:xf>
    <x:xf numFmtId="0" fontId="0" fillId="78" borderId="0" xfId="0" applyNumberFormat="1" applyFont="1" applyFill="1" applyBorder="1"/>
    <x:xf numFmtId="0" fontId="2" fillId="78" borderId="0" xfId="0" applyNumberFormat="1" applyFont="1" applyFill="1" applyBorder="1"/>
    <x:xf numFmtId="0" fontId="2" fillId="78" borderId="1" xfId="0" applyNumberFormat="1" applyFont="1" applyFill="1" applyBorder="1"/>
    <x:xf numFmtId="0" fontId="2" fillId="78" borderId="1" xfId="0" applyNumberFormat="1" applyFont="1" applyFill="1" applyBorder="1" applyAlignment="1">
      <x:alignment wrapText="1"/>
    </x:xf>
    <x:xf numFmtId="0" fontId="2" fillId="78" borderId="1" xfId="0" applyNumberFormat="1" applyFont="1" applyFill="1" applyBorder="1" applyAlignment="1">
      <x:alignment vertical="top" wrapText="1"/>
    </x:xf>
    <x:xf numFmtId="0" fontId="28" fillId="78" borderId="1" xfId="0" applyNumberFormat="1" applyFont="1" applyFill="1" applyBorder="1" applyAlignment="1">
      <x:alignment vertical="top" wrapText="1"/>
    </x:xf>
    <x:xf numFmtId="0" fontId="11" fillId="78" borderId="1" xfId="0" applyNumberFormat="1" applyFont="1" applyFill="1" applyBorder="1" applyAlignment="1">
      <x:alignment vertical="top" wrapText="1"/>
    </x:xf>
    <x:xf numFmtId="0" fontId="2" fillId="75" borderId="1" xfId="0" applyNumberFormat="1" applyFont="1" applyFill="1" applyBorder="1"/>
    <x:xf numFmtId="0" fontId="2" fillId="75" borderId="1" xfId="0" applyNumberFormat="1" applyFont="1" applyFill="1" applyBorder="1" applyAlignment="1">
      <x:alignment wrapText="1"/>
    </x:xf>
    <x:xf numFmtId="0" fontId="2" fillId="75" borderId="1" xfId="0" applyNumberFormat="1" applyFont="1" applyFill="1" applyBorder="1" applyAlignment="1">
      <x:alignment vertical="top" wrapText="1"/>
    </x:xf>
    <x:xf numFmtId="0" fontId="28" fillId="75" borderId="1" xfId="0" applyNumberFormat="1" applyFont="1" applyFill="1" applyBorder="1" applyAlignment="1">
      <x:alignment vertical="top" wrapText="1"/>
    </x:xf>
    <x:xf numFmtId="0" fontId="11" fillId="75" borderId="1" xfId="0" applyNumberFormat="1" applyFont="1" applyFill="1" applyBorder="1" applyAlignment="1">
      <x:alignment vertical="top" wrapText="1"/>
    </x:xf>
    <x:xf numFmtId="0" fontId="0" fillId="79" borderId="0" xfId="0" applyNumberFormat="1" applyFont="1" applyFill="1" applyBorder="1"/>
    <x:xf numFmtId="0" fontId="11" fillId="79"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2" fillId="71" borderId="0" xfId="0" applyNumberFormat="1" applyFont="1" applyFill="1" applyBorder="1" applyAlignment="1">
      <x:alignment wrapText="1"/>
    </x:xf>
    <x:xf numFmtId="0" fontId="2" fillId="71" borderId="0" xfId="0" applyNumberFormat="1" applyFont="1" applyFill="1" applyBorder="1" applyAlignment="1">
      <x:alignment vertical="top" wrapText="1"/>
    </x:xf>
    <x:xf numFmtId="0" fontId="2" fillId="71" borderId="1" xfId="0" applyNumberFormat="1" applyFont="1" applyFill="1" applyBorder="1" applyAlignment="1">
      <x:alignment vertical="top" wrapText="1"/>
    </x:xf>
    <x:xf numFmtId="0" fontId="11" fillId="71" borderId="1" xfId="0" applyNumberFormat="1" applyFont="1" applyFill="1" applyBorder="1" applyAlignment="1">
      <x:alignment vertical="top" wrapText="1"/>
    </x:xf>
    <x:xf numFmtId="0" fontId="0" fillId="80" borderId="0" xfId="0" applyNumberFormat="1" applyFont="1" applyFill="1" applyBorder="1"/>
    <x:xf numFmtId="0" fontId="2" fillId="80" borderId="0" xfId="0" applyNumberFormat="1" applyFont="1" applyFill="1" applyBorder="1"/>
    <x:xf numFmtId="0" fontId="2" fillId="80" xfId="0" applyNumberFormat="1" applyFont="1" applyFill="1" applyBorder="0"/>
    <x:xf numFmtId="0" fontId="2" fillId="80" xfId="0" applyNumberFormat="1" applyFont="1" applyFill="1" applyBorder="0" applyAlignment="1">
      <x:alignment wrapText="1"/>
    </x:xf>
    <x:xf numFmtId="0" fontId="2" fillId="80" xfId="0" applyNumberFormat="1" applyFont="1" applyFill="1" applyBorder="0" applyAlignment="1">
      <x:alignment vertical="top" wrapText="1"/>
    </x:xf>
    <x:xf numFmtId="0" fontId="11" fillId="80" borderId="2" xfId="0" applyNumberFormat="1" applyFont="1" applyFill="1" applyBorder="1" applyAlignment="1">
      <x:alignment horizontal="center" vertical="center" wrapText="1"/>
    </x:xf>
    <x:xf numFmtId="0" fontId="11" fillId="81" borderId="2" xfId="0" applyNumberFormat="1" applyFont="1" applyFill="1" applyBorder="1" applyAlignment="1">
      <x:alignment horizontal="center" vertical="center" wrapText="1"/>
    </x:xf>
    <x:xf numFmtId="0" fontId="11" fillId="80" borderId="1" xfId="0" applyNumberFormat="1" applyFont="1" applyFill="1" applyBorder="1" applyAlignment="1">
      <x:alignment vertical="top" wrapText="1"/>
    </x:xf>
    <x:xf numFmtId="0" fontId="2" fillId="80" borderId="1" xfId="0" applyNumberFormat="1" applyFont="1" applyFill="1" applyBorder="1" applyAlignment="1">
      <x:alignment vertical="top" wrapText="1"/>
    </x:xf>
    <x:xf numFmtId="0" fontId="0" fillId="82" borderId="0" xfId="0" applyNumberFormat="1" applyFont="1" applyFill="1" applyBorder="1"/>
    <x:xf numFmtId="0" fontId="1" fillId="82" borderId="0" xfId="0" applyNumberFormat="1" applyFont="1" applyFill="1" applyBorder="1"/>
    <x:xf numFmtId="0" fontId="1" fillId="82" borderId="0" xfId="0" applyNumberFormat="1" applyFont="1" applyFill="1" applyBorder="1" applyAlignment="1">
      <x:alignment vertical="center"/>
    </x:xf>
    <x:xf numFmtId="0" fontId="0" fillId="83" borderId="0" xfId="0" applyNumberFormat="1" applyFont="1" applyFill="1" applyBorder="1"/>
    <x:xf numFmtId="0" fontId="27" fillId="83" borderId="0" xfId="0" applyNumberFormat="1" applyFont="1" applyFill="1" applyBorder="1"/>
    <x:xf numFmtId="0" fontId="27" fillId="83" borderId="0" xfId="0" applyNumberFormat="1" applyFont="1" applyFill="1" applyBorder="1" applyAlignment="1">
      <x:alignment wrapText="1"/>
    </x:xf>
    <x:xf numFmtId="0" fontId="27" fillId="83" borderId="0" xfId="0" applyNumberFormat="1" applyFont="1" applyFill="1" applyBorder="1" applyAlignment="1">
      <x:alignment vertical="center" wrapText="1"/>
    </x:xf>
    <x:xf numFmtId="0" fontId="0" fillId="84" borderId="0" xfId="0" applyNumberFormat="1" applyFont="1" applyFill="1" applyBorder="1"/>
    <x:xf numFmtId="0" fontId="11" fillId="84" borderId="0" xfId="0" applyNumberFormat="1" applyFont="1" applyFill="1" applyBorder="1"/>
    <x:xf numFmtId="0" fontId="11" fillId="84" borderId="0" xfId="0" applyNumberFormat="1" applyFont="1" applyFill="1" applyBorder="1" applyAlignment="1">
      <x:alignment wrapText="1"/>
    </x:xf>
    <x:xf numFmtId="0" fontId="0" fillId="85" borderId="0" xfId="0" applyNumberFormat="1" applyFont="1" applyFill="1" applyBorder="1"/>
    <x:xf numFmtId="0" fontId="2" fillId="85" borderId="0" xfId="0" applyNumberFormat="1" applyFont="1" applyFill="1" applyBorder="1"/>
    <x:xf numFmtId="0" fontId="2" fillId="85" borderId="0" xfId="0" applyNumberFormat="1" applyFont="1" applyFill="1" applyBorder="1" applyAlignment="1">
      <x:alignment wrapText="1"/>
    </x:xf>
    <x:xf numFmtId="0" fontId="0" fillId="86" borderId="0" xfId="0" applyNumberFormat="1" applyFont="1" applyFill="1" applyBorder="1"/>
    <x:xf numFmtId="0" fontId="1" fillId="86" borderId="0" xfId="0" applyNumberFormat="1" applyFont="1" applyFill="1" applyBorder="1"/>
    <x:xf numFmtId="0" fontId="1" fillId="86" borderId="0" xfId="0" applyNumberFormat="1" applyFont="1" applyFill="1" applyBorder="1" applyAlignment="1">
      <x:alignment vertical="center"/>
    </x:xf>
    <x:xf numFmtId="0" fontId="11" fillId="84" borderId="0" xfId="0" applyNumberFormat="1" applyFont="1" applyFill="1" applyBorder="1" applyAlignment="1">
      <x:alignment horizontal="right"/>
    </x:xf>
    <x:xf numFmtId="0" fontId="11" fillId="80" borderId="0" xfId="0" applyNumberFormat="1" applyFont="1" applyFill="1" applyBorder="1"/>
    <x:xf numFmtId="0" fontId="11" fillId="80" borderId="0" xfId="0" applyNumberFormat="1" applyFont="1" applyFill="1" applyBorder="1" applyAlignment="1">
      <x:alignment horizontal="center"/>
    </x:xf>
    <x:xf numFmtId="0" fontId="2" fillId="85" borderId="0" xfId="0" applyNumberFormat="1" applyFont="1" applyFill="1" applyBorder="1" applyAlignment="1">
      <x:alignment vertical="top" wrapText="1"/>
    </x:xf>
    <x:xf numFmtId="0" fontId="0" fillId="87" borderId="0" xfId="0" applyNumberFormat="1" applyFont="1" applyFill="1" applyBorder="1"/>
    <x:xf numFmtId="0" fontId="1" fillId="87" borderId="0" xfId="0" applyNumberFormat="1" applyFont="1" applyFill="1" applyBorder="1"/>
    <x:xf numFmtId="0" fontId="0" fillId="88" borderId="0" xfId="0" applyNumberFormat="1" applyFont="1" applyFill="1" applyBorder="1"/>
    <x:xf numFmtId="0" fontId="2" fillId="88" borderId="0" xfId="0" applyNumberFormat="1" applyFont="1" applyFill="1" applyBorder="1"/>
    <x:xf numFmtId="0" fontId="2" fillId="88" borderId="1" xfId="0" applyNumberFormat="1" applyFont="1" applyFill="1" applyBorder="1"/>
    <x:xf numFmtId="0" fontId="2" fillId="88" borderId="1" xfId="0" applyNumberFormat="1" applyFont="1" applyFill="1" applyBorder="1" applyAlignment="1">
      <x:alignment wrapText="1"/>
    </x:xf>
    <x:xf numFmtId="0" fontId="2" fillId="88" borderId="1" xfId="0" applyNumberFormat="1" applyFont="1" applyFill="1" applyBorder="1" applyAlignment="1">
      <x:alignment vertical="top" wrapText="1"/>
    </x:xf>
    <x:xf numFmtId="0" fontId="28" fillId="88" borderId="1" xfId="0" applyNumberFormat="1" applyFont="1" applyFill="1" applyBorder="1" applyAlignment="1">
      <x:alignment vertical="top" wrapText="1"/>
    </x:xf>
    <x:xf numFmtId="0" fontId="11" fillId="88" borderId="1" xfId="0" applyNumberFormat="1" applyFont="1" applyFill="1" applyBorder="1" applyAlignment="1">
      <x:alignment vertical="top" wrapText="1"/>
    </x:xf>
    <x:xf numFmtId="0" fontId="2" fillId="85" borderId="1" xfId="0" applyNumberFormat="1" applyFont="1" applyFill="1" applyBorder="1"/>
    <x:xf numFmtId="0" fontId="2" fillId="85" borderId="1" xfId="0" applyNumberFormat="1" applyFont="1" applyFill="1" applyBorder="1" applyAlignment="1">
      <x:alignment wrapText="1"/>
    </x:xf>
    <x:xf numFmtId="0" fontId="2" fillId="85" borderId="1" xfId="0" applyNumberFormat="1" applyFont="1" applyFill="1" applyBorder="1" applyAlignment="1">
      <x:alignment vertical="top" wrapText="1"/>
    </x:xf>
    <x:xf numFmtId="0" fontId="28" fillId="85" borderId="1" xfId="0" applyNumberFormat="1" applyFont="1" applyFill="1" applyBorder="1" applyAlignment="1">
      <x:alignment vertical="top" wrapText="1"/>
    </x:xf>
    <x:xf numFmtId="0" fontId="11" fillId="85" borderId="1" xfId="0" applyNumberFormat="1" applyFont="1" applyFill="1" applyBorder="1" applyAlignment="1">
      <x:alignment vertical="top" wrapText="1"/>
    </x:xf>
    <x:xf numFmtId="0" fontId="0" fillId="89" borderId="0" xfId="0" applyNumberFormat="1" applyFont="1" applyFill="1" applyBorder="1"/>
    <x:xf numFmtId="0" fontId="11" fillId="89" borderId="0" xfId="0" applyNumberFormat="1" applyFont="1" applyFill="1" applyBorder="1"/>
    <x:xf numFmtId="0" fontId="0" fillId="81" borderId="0" xfId="0" applyNumberFormat="1" applyFont="1" applyFill="1" applyBorder="1"/>
    <x:xf numFmtId="0" fontId="2" fillId="81" borderId="0" xfId="0" applyNumberFormat="1" applyFont="1" applyFill="1" applyBorder="1"/>
    <x:xf numFmtId="0" fontId="2" fillId="81" borderId="0" xfId="0" applyNumberFormat="1" applyFont="1" applyFill="1" applyBorder="1" applyAlignment="1">
      <x:alignment wrapText="1"/>
    </x:xf>
    <x:xf numFmtId="0" fontId="2" fillId="81" borderId="0" xfId="0" applyNumberFormat="1" applyFont="1" applyFill="1" applyBorder="1" applyAlignment="1">
      <x:alignment vertical="top" wrapText="1"/>
    </x:xf>
    <x:xf numFmtId="0" fontId="1" fillId="87" borderId="10" xfId="0" applyNumberFormat="1" applyFont="1" applyFill="1" applyBorder="1"/>
    <x:xf numFmtId="0" fontId="1" fillId="87" borderId="11" xfId="0" applyNumberFormat="1" applyFont="1" applyFill="1" applyBorder="1"/>
    <x:xf numFmtId="0" fontId="1" fillId="87" borderId="12" xfId="0" applyNumberFormat="1" applyFont="1" applyFill="1" applyBorder="1"/>
    <x:xf numFmtId="0" fontId="1" fillId="87" borderId="10" xfId="0" applyNumberFormat="1" applyFont="1" applyFill="1" applyBorder="1" applyAlignment="1">
      <x:alignment wrapText="1"/>
    </x:xf>
    <x:xf numFmtId="0" fontId="1" fillId="87" borderId="11" xfId="0" applyNumberFormat="1" applyFont="1" applyFill="1" applyBorder="1" applyAlignment="1">
      <x:alignment wrapText="1"/>
    </x:xf>
    <x:xf numFmtId="0" fontId="1" fillId="87" borderId="12" xfId="0" applyNumberFormat="1" applyFont="1" applyFill="1" applyBorder="1" applyAlignment="1">
      <x:alignment wrapText="1"/>
    </x:xf>
    <x:xf numFmtId="0" fontId="1" fillId="87" borderId="10" xfId="0" applyNumberFormat="1" applyFont="1" applyFill="1" applyBorder="1" applyAlignment="1">
      <x:alignment vertical="center" wrapText="1"/>
    </x:xf>
    <x:xf numFmtId="0" fontId="1" fillId="87" borderId="11" xfId="0" applyNumberFormat="1" applyFont="1" applyFill="1" applyBorder="1" applyAlignment="1">
      <x:alignment vertical="center" wrapText="1"/>
    </x:xf>
    <x:xf numFmtId="0" fontId="1" fillId="87" borderId="12" xfId="0" applyNumberFormat="1" applyFont="1" applyFill="1" applyBorder="1" applyAlignment="1">
      <x:alignment vertical="center" wrapText="1"/>
    </x:xf>
    <x:xf numFmtId="0" fontId="2" fillId="85" borderId="2" xfId="0" applyNumberFormat="1" applyFont="1" applyFill="1" applyBorder="1" applyAlignment="1">
      <x:alignment vertical="top" wrapText="1"/>
    </x:xf>
    <x:xf numFmtId="0" fontId="2" fillId="88" borderId="2" xfId="0" applyNumberFormat="1" applyFont="1" applyFill="1" applyBorder="1" applyAlignment="1">
      <x:alignment vertical="top" wrapText="1"/>
    </x:xf>
    <x:xf numFmtId="0" fontId="2" fillId="85" borderId="3" xfId="0" applyNumberFormat="1" applyFont="1" applyFill="1" applyBorder="1" applyAlignment="1">
      <x:alignment vertical="top" wrapText="1"/>
    </x:xf>
    <x:xf numFmtId="0" fontId="2" fillId="81" borderId="1" xfId="0" applyNumberFormat="1" applyFont="1" applyFill="1" applyBorder="1" applyAlignment="1">
      <x:alignment vertical="top" wrapText="1"/>
    </x:xf>
    <x:xf numFmtId="0" fontId="2" fillId="81" borderId="2" xfId="0" applyNumberFormat="1" applyFont="1" applyFill="1" applyBorder="1" applyAlignment="1">
      <x:alignment vertical="top" wrapText="1"/>
    </x:xf>
    <x:xf numFmtId="0" fontId="2" fillId="81" borderId="3" xfId="0" applyNumberFormat="1" applyFont="1" applyFill="1" applyBorder="1" applyAlignment="1">
      <x:alignment vertical="top" wrapText="1"/>
    </x:xf>
    <x:xf numFmtId="0" fontId="11" fillId="81" borderId="1" xfId="0" applyNumberFormat="1" applyFont="1" applyFill="1" applyBorder="1" applyAlignment="1">
      <x:alignment vertical="top" wrapText="1"/>
    </x:xf>
    <x:xf numFmtId="0" fontId="11" fillId="81" borderId="2" xfId="0" applyNumberFormat="1" applyFont="1" applyFill="1" applyBorder="1" applyAlignment="1">
      <x:alignment vertical="top" wrapText="1"/>
    </x:xf>
    <x:xf numFmtId="0" fontId="11" fillId="81" borderId="3" xfId="0" applyNumberFormat="1" applyFont="1" applyFill="1" applyBorder="1" applyAlignment="1">
      <x:alignment vertical="top" wrapText="1"/>
    </x:xf>
    <x:xf numFmtId="0" fontId="2" fillId="88" borderId="3" xfId="0" applyNumberFormat="1" applyFont="1" applyFill="1" applyBorder="1" applyAlignment="1">
      <x:alignment vertical="top" wrapText="1"/>
    </x:xf>
    <x:xf numFmtId="0" fontId="0" fillId="90" borderId="0" xfId="0" applyNumberFormat="1" applyFont="1" applyFill="1" applyBorder="1"/>
    <x:xf numFmtId="0" fontId="2" fillId="90" borderId="0" xfId="0" applyNumberFormat="1" applyFont="1" applyFill="1" applyBorder="1"/>
    <x:xf numFmtId="0" fontId="2" fillId="90" xfId="0" applyNumberFormat="1" applyFont="1" applyFill="1" applyBorder="0"/>
    <x:xf numFmtId="0" fontId="2" fillId="90" xfId="0" applyNumberFormat="1" applyFont="1" applyFill="1" applyBorder="0" applyAlignment="1">
      <x:alignment wrapText="1"/>
    </x:xf>
    <x:xf numFmtId="0" fontId="2" fillId="90" xfId="0" applyNumberFormat="1" applyFont="1" applyFill="1" applyBorder="0" applyAlignment="1">
      <x:alignment vertical="top" wrapText="1"/>
    </x:xf>
    <x:xf numFmtId="0" fontId="11" fillId="90" borderId="2" xfId="0" applyNumberFormat="1" applyFont="1" applyFill="1" applyBorder="1" applyAlignment="1">
      <x:alignment horizontal="center" vertical="center" wrapText="1"/>
    </x:xf>
    <x:xf numFmtId="0" fontId="11" fillId="91" borderId="2" xfId="0" applyNumberFormat="1" applyFont="1" applyFill="1" applyBorder="1" applyAlignment="1">
      <x:alignment horizontal="center" vertical="center" wrapText="1"/>
    </x:xf>
    <x:xf numFmtId="0" fontId="1" fillId="90" borderId="0" xfId="0" applyNumberFormat="1" applyFont="1" applyFill="1" applyBorder="1" applyAlignment="1">
      <x:alignment vertical="center"/>
    </x:xf>
    <x:xf numFmtId="0" fontId="11" fillId="90" borderId="0" xfId="0" applyNumberFormat="1" applyFont="1" applyFill="1" applyBorder="1" applyAlignment="1">
      <x:alignment vertical="center"/>
    </x:xf>
    <x:xf numFmtId="0" fontId="11" fillId="90" borderId="1" xfId="0" applyNumberFormat="1" applyFont="1" applyFill="1" applyBorder="1" applyAlignment="1">
      <x:alignment vertical="top" wrapText="1"/>
    </x:xf>
    <x:xf numFmtId="0" fontId="11" fillId="90" borderId="2" xfId="0" applyNumberFormat="1" applyFont="1" applyFill="1" applyBorder="1" applyAlignment="1">
      <x:alignment vertical="top" wrapText="1"/>
    </x:xf>
    <x:xf numFmtId="0" fontId="11" fillId="90" borderId="3" xfId="0" applyNumberFormat="1" applyFont="1" applyFill="1" applyBorder="1" applyAlignment="1">
      <x:alignment vertical="top" wrapText="1"/>
    </x:xf>
    <x:xf numFmtId="0" fontId="0" fillId="92" borderId="0" xfId="0" applyNumberFormat="1" applyFont="1" applyFill="1" applyBorder="1"/>
    <x:xf numFmtId="0" fontId="1" fillId="92" borderId="0" xfId="0" applyNumberFormat="1" applyFont="1" applyFill="1" applyBorder="1"/>
    <x:xf numFmtId="0" fontId="1" fillId="92" borderId="0" xfId="0" applyNumberFormat="1" applyFont="1" applyFill="1" applyBorder="1" applyAlignment="1">
      <x:alignment vertical="center"/>
    </x:xf>
    <x:xf numFmtId="0" fontId="0" fillId="93" borderId="0" xfId="0" applyNumberFormat="1" applyFont="1" applyFill="1" applyBorder="1"/>
    <x:xf numFmtId="0" fontId="27" fillId="93" borderId="0" xfId="0" applyNumberFormat="1" applyFont="1" applyFill="1" applyBorder="1"/>
    <x:xf numFmtId="0" fontId="27" fillId="93" borderId="0" xfId="0" applyNumberFormat="1" applyFont="1" applyFill="1" applyBorder="1" applyAlignment="1">
      <x:alignment wrapText="1"/>
    </x:xf>
    <x:xf numFmtId="0" fontId="27" fillId="93" borderId="0" xfId="0" applyNumberFormat="1" applyFont="1" applyFill="1" applyBorder="1" applyAlignment="1">
      <x:alignment vertical="center" wrapText="1"/>
    </x:xf>
    <x:xf numFmtId="0" fontId="0" fillId="94" borderId="0" xfId="0" applyNumberFormat="1" applyFont="1" applyFill="1" applyBorder="1"/>
    <x:xf numFmtId="0" fontId="11" fillId="94" borderId="0" xfId="0" applyNumberFormat="1" applyFont="1" applyFill="1" applyBorder="1"/>
    <x:xf numFmtId="0" fontId="11" fillId="94" borderId="0" xfId="0" applyNumberFormat="1" applyFont="1" applyFill="1" applyBorder="1" applyAlignment="1">
      <x:alignment wrapText="1"/>
    </x:xf>
    <x:xf numFmtId="0" fontId="0" fillId="95" borderId="0" xfId="0" applyNumberFormat="1" applyFont="1" applyFill="1" applyBorder="1"/>
    <x:xf numFmtId="0" fontId="2" fillId="95" borderId="0" xfId="0" applyNumberFormat="1" applyFont="1" applyFill="1" applyBorder="1"/>
    <x:xf numFmtId="0" fontId="2" fillId="95" borderId="0" xfId="0" applyNumberFormat="1" applyFont="1" applyFill="1" applyBorder="1" applyAlignment="1">
      <x:alignment wrapText="1"/>
    </x:xf>
    <x:xf numFmtId="0" fontId="0" fillId="96" borderId="0" xfId="0" applyNumberFormat="1" applyFont="1" applyFill="1" applyBorder="1"/>
    <x:xf numFmtId="0" fontId="1" fillId="96" borderId="0" xfId="0" applyNumberFormat="1" applyFont="1" applyFill="1" applyBorder="1"/>
    <x:xf numFmtId="0" fontId="1" fillId="96" borderId="0" xfId="0" applyNumberFormat="1" applyFont="1" applyFill="1" applyBorder="1" applyAlignment="1">
      <x:alignment vertical="center"/>
    </x:xf>
    <x:xf numFmtId="0" fontId="11" fillId="94" borderId="0" xfId="0" applyNumberFormat="1" applyFont="1" applyFill="1" applyBorder="1" applyAlignment="1">
      <x:alignment horizontal="right"/>
    </x:xf>
    <x:xf numFmtId="0" fontId="11" fillId="90" borderId="0" xfId="0" applyNumberFormat="1" applyFont="1" applyFill="1" applyBorder="1"/>
    <x:xf numFmtId="0" fontId="11" fillId="90" borderId="0" xfId="0" applyNumberFormat="1" applyFont="1" applyFill="1" applyBorder="1" applyAlignment="1">
      <x:alignment horizontal="center"/>
    </x:xf>
    <x:xf numFmtId="0" fontId="2" fillId="95" borderId="0" xfId="0" applyNumberFormat="1" applyFont="1" applyFill="1" applyBorder="1" applyAlignment="1">
      <x:alignment vertical="top" wrapText="1"/>
    </x:xf>
    <x:xf numFmtId="0" fontId="0" fillId="97" borderId="0" xfId="0" applyNumberFormat="1" applyFont="1" applyFill="1" applyBorder="1"/>
    <x:xf numFmtId="0" fontId="1" fillId="97" borderId="0" xfId="0" applyNumberFormat="1" applyFont="1" applyFill="1" applyBorder="1"/>
    <x:xf numFmtId="0" fontId="0" fillId="98" borderId="0" xfId="0" applyNumberFormat="1" applyFont="1" applyFill="1" applyBorder="1"/>
    <x:xf numFmtId="0" fontId="2" fillId="98" borderId="0" xfId="0" applyNumberFormat="1" applyFont="1" applyFill="1" applyBorder="1"/>
    <x:xf numFmtId="0" fontId="2" fillId="98" borderId="1" xfId="0" applyNumberFormat="1" applyFont="1" applyFill="1" applyBorder="1"/>
    <x:xf numFmtId="0" fontId="2" fillId="98" borderId="1" xfId="0" applyNumberFormat="1" applyFont="1" applyFill="1" applyBorder="1" applyAlignment="1">
      <x:alignment wrapText="1"/>
    </x:xf>
    <x:xf numFmtId="0" fontId="2" fillId="98" borderId="1" xfId="0" applyNumberFormat="1" applyFont="1" applyFill="1" applyBorder="1" applyAlignment="1">
      <x:alignment vertical="top" wrapText="1"/>
    </x:xf>
    <x:xf numFmtId="0" fontId="28" fillId="98" borderId="1" xfId="0" applyNumberFormat="1" applyFont="1" applyFill="1" applyBorder="1" applyAlignment="1">
      <x:alignment vertical="top" wrapText="1"/>
    </x:xf>
    <x:xf numFmtId="0" fontId="11" fillId="98" borderId="1" xfId="0" applyNumberFormat="1" applyFont="1" applyFill="1" applyBorder="1" applyAlignment="1">
      <x:alignment vertical="top" wrapText="1"/>
    </x:xf>
    <x:xf numFmtId="0" fontId="2" fillId="95" borderId="1" xfId="0" applyNumberFormat="1" applyFont="1" applyFill="1" applyBorder="1"/>
    <x:xf numFmtId="0" fontId="2" fillId="95" borderId="1" xfId="0" applyNumberFormat="1" applyFont="1" applyFill="1" applyBorder="1" applyAlignment="1">
      <x:alignment wrapText="1"/>
    </x:xf>
    <x:xf numFmtId="0" fontId="2" fillId="95" borderId="1" xfId="0" applyNumberFormat="1" applyFont="1" applyFill="1" applyBorder="1" applyAlignment="1">
      <x:alignment vertical="top" wrapText="1"/>
    </x:xf>
    <x:xf numFmtId="0" fontId="28" fillId="95" borderId="1" xfId="0" applyNumberFormat="1" applyFont="1" applyFill="1" applyBorder="1" applyAlignment="1">
      <x:alignment vertical="top" wrapText="1"/>
    </x:xf>
    <x:xf numFmtId="0" fontId="11" fillId="95" borderId="1" xfId="0" applyNumberFormat="1" applyFont="1" applyFill="1" applyBorder="1" applyAlignment="1">
      <x:alignment vertical="top" wrapText="1"/>
    </x:xf>
    <x:xf numFmtId="0" fontId="0" fillId="99" borderId="0" xfId="0" applyNumberFormat="1" applyFont="1" applyFill="1" applyBorder="1"/>
    <x:xf numFmtId="0" fontId="11" fillId="99" borderId="0" xfId="0" applyNumberFormat="1" applyFont="1" applyFill="1" applyBorder="1"/>
    <x:xf numFmtId="0" fontId="0" fillId="91" borderId="0" xfId="0" applyNumberFormat="1" applyFont="1" applyFill="1" applyBorder="1"/>
    <x:xf numFmtId="0" fontId="2" fillId="91" borderId="0" xfId="0" applyNumberFormat="1" applyFont="1" applyFill="1" applyBorder="1"/>
    <x:xf numFmtId="0" fontId="2" fillId="91" borderId="0" xfId="0" applyNumberFormat="1" applyFont="1" applyFill="1" applyBorder="1" applyAlignment="1">
      <x:alignment wrapText="1"/>
    </x:xf>
    <x:xf numFmtId="0" fontId="2" fillId="91" borderId="0" xfId="0" applyNumberFormat="1" applyFont="1" applyFill="1" applyBorder="1" applyAlignment="1">
      <x:alignment vertical="top" wrapText="1"/>
    </x:xf>
    <x:xf numFmtId="0" fontId="1" fillId="97" borderId="10" xfId="0" applyNumberFormat="1" applyFont="1" applyFill="1" applyBorder="1"/>
    <x:xf numFmtId="0" fontId="1" fillId="97" borderId="11" xfId="0" applyNumberFormat="1" applyFont="1" applyFill="1" applyBorder="1"/>
    <x:xf numFmtId="0" fontId="1" fillId="97" borderId="12" xfId="0" applyNumberFormat="1" applyFont="1" applyFill="1" applyBorder="1"/>
    <x:xf numFmtId="0" fontId="1" fillId="97" borderId="10" xfId="0" applyNumberFormat="1" applyFont="1" applyFill="1" applyBorder="1" applyAlignment="1">
      <x:alignment wrapText="1"/>
    </x:xf>
    <x:xf numFmtId="0" fontId="1" fillId="97" borderId="11" xfId="0" applyNumberFormat="1" applyFont="1" applyFill="1" applyBorder="1" applyAlignment="1">
      <x:alignment wrapText="1"/>
    </x:xf>
    <x:xf numFmtId="0" fontId="1" fillId="97" borderId="12" xfId="0" applyNumberFormat="1" applyFont="1" applyFill="1" applyBorder="1" applyAlignment="1">
      <x:alignment wrapText="1"/>
    </x:xf>
    <x:xf numFmtId="0" fontId="1" fillId="97" borderId="10" xfId="0" applyNumberFormat="1" applyFont="1" applyFill="1" applyBorder="1" applyAlignment="1">
      <x:alignment vertical="center" wrapText="1"/>
    </x:xf>
    <x:xf numFmtId="0" fontId="1" fillId="97" borderId="11" xfId="0" applyNumberFormat="1" applyFont="1" applyFill="1" applyBorder="1" applyAlignment="1">
      <x:alignment vertical="center" wrapText="1"/>
    </x:xf>
    <x:xf numFmtId="0" fontId="1" fillId="97" borderId="12" xfId="0" applyNumberFormat="1" applyFont="1" applyFill="1" applyBorder="1" applyAlignment="1">
      <x:alignment vertical="center" wrapText="1"/>
    </x:xf>
    <x:xf numFmtId="0" fontId="2" fillId="95" borderId="2" xfId="0" applyNumberFormat="1" applyFont="1" applyFill="1" applyBorder="1" applyAlignment="1">
      <x:alignment vertical="top" wrapText="1"/>
    </x:xf>
    <x:xf numFmtId="0" fontId="2" fillId="98" borderId="2" xfId="0" applyNumberFormat="1" applyFont="1" applyFill="1" applyBorder="1" applyAlignment="1">
      <x:alignment vertical="top" wrapText="1"/>
    </x:xf>
    <x:xf numFmtId="0" fontId="2" fillId="95" borderId="3" xfId="0" applyNumberFormat="1" applyFont="1" applyFill="1" applyBorder="1" applyAlignment="1">
      <x:alignment vertical="top" wrapText="1"/>
    </x:xf>
    <x:xf numFmtId="0" fontId="2" fillId="91" borderId="1" xfId="0" applyNumberFormat="1" applyFont="1" applyFill="1" applyBorder="1" applyAlignment="1">
      <x:alignment vertical="top" wrapText="1"/>
    </x:xf>
    <x:xf numFmtId="0" fontId="2" fillId="91" borderId="2" xfId="0" applyNumberFormat="1" applyFont="1" applyFill="1" applyBorder="1" applyAlignment="1">
      <x:alignment vertical="top" wrapText="1"/>
    </x:xf>
    <x:xf numFmtId="0" fontId="2" fillId="91" borderId="3" xfId="0" applyNumberFormat="1" applyFont="1" applyFill="1" applyBorder="1" applyAlignment="1">
      <x:alignment vertical="top" wrapText="1"/>
    </x:xf>
    <x:xf numFmtId="0" fontId="11" fillId="91" borderId="1" xfId="0" applyNumberFormat="1" applyFont="1" applyFill="1" applyBorder="1" applyAlignment="1">
      <x:alignment vertical="top" wrapText="1"/>
    </x:xf>
    <x:xf numFmtId="0" fontId="11" fillId="91" borderId="2" xfId="0" applyNumberFormat="1" applyFont="1" applyFill="1" applyBorder="1" applyAlignment="1">
      <x:alignment vertical="top" wrapText="1"/>
    </x:xf>
    <x:xf numFmtId="0" fontId="11" fillId="91" borderId="3" xfId="0" applyNumberFormat="1" applyFont="1" applyFill="1" applyBorder="1" applyAlignment="1">
      <x:alignment vertical="top" wrapText="1"/>
    </x:xf>
    <x:xf numFmtId="0" fontId="2" fillId="98" borderId="3" xfId="0" applyNumberFormat="1" applyFont="1" applyFill="1" applyBorder="1" applyAlignment="1">
      <x:alignment vertical="top" wrapText="1"/>
    </x:xf>
    <x:xf numFmtId="0" fontId="2" fillId="94" borderId="1" xfId="0" applyNumberFormat="1" applyFont="1" applyFill="1" applyBorder="1" applyAlignment="1">
      <x:alignment vertical="top" wrapText="1"/>
    </x:xf>
    <x:xf numFmtId="0" fontId="2" fillId="94" borderId="2" xfId="0" applyNumberFormat="1" applyFont="1" applyFill="1" applyBorder="1" applyAlignment="1">
      <x:alignment vertical="top" wrapText="1"/>
    </x:xf>
    <x:xf numFmtId="0" fontId="2" fillId="94" borderId="3" xfId="0" applyNumberFormat="1" applyFont="1" applyFill="1" applyBorder="1" applyAlignment="1">
      <x:alignment vertical="top" wrapText="1"/>
    </x:xf>
    <x:xf numFmtId="0" fontId="11" fillId="94" borderId="1" xfId="0" applyNumberFormat="1" applyFont="1" applyFill="1" applyBorder="1" applyAlignment="1">
      <x:alignment vertical="top" wrapText="1"/>
    </x:xf>
    <x:xf numFmtId="0" fontId="11" fillId="94" borderId="2" xfId="0" applyNumberFormat="1" applyFont="1" applyFill="1" applyBorder="1" applyAlignment="1">
      <x:alignment vertical="top" wrapText="1"/>
    </x:xf>
    <x:xf numFmtId="0" fontId="11" fillId="94" borderId="3" xfId="0" applyNumberFormat="1" applyFont="1" applyFill="1" applyBorder="1" applyAlignment="1">
      <x:alignment vertical="top" wrapText="1"/>
    </x:xf>
    <x:xf numFmtId="0" fontId="11" fillId="94" borderId="1" xfId="0" applyNumberFormat="1" applyFont="1" applyFill="1" applyBorder="1" applyAlignment="1">
      <x:alignment horizontal="center" vertical="top" wrapText="1"/>
    </x:xf>
    <x:xf numFmtId="0" fontId="11" fillId="94" borderId="2" xfId="0" applyNumberFormat="1" applyFont="1" applyFill="1" applyBorder="1" applyAlignment="1">
      <x:alignment horizontal="center" vertical="top" wrapText="1"/>
    </x:xf>
    <x:xf numFmtId="0" fontId="11" fillId="94" borderId="3" xfId="0" applyNumberFormat="1" applyFont="1" applyFill="1" applyBorder="1" applyAlignment="1">
      <x:alignment horizontal="center" vertical="top" wrapText="1"/>
    </x:xf>
    <x:xf numFmtId="0" fontId="0" fillId="100" borderId="0" xfId="0" applyNumberFormat="1" applyFont="1" applyFill="1" applyBorder="1"/>
    <x:xf numFmtId="0" fontId="2" fillId="100" borderId="0" xfId="0" applyNumberFormat="1" applyFont="1" applyFill="1" applyBorder="1"/>
    <x:xf numFmtId="0" fontId="2" fillId="100" xfId="0" applyNumberFormat="1" applyFont="1" applyFill="1" applyBorder="0"/>
    <x:xf numFmtId="0" fontId="2" fillId="100" xfId="0" applyNumberFormat="1" applyFont="1" applyFill="1" applyBorder="0" applyAlignment="1">
      <x:alignment wrapText="1"/>
    </x:xf>
    <x:xf numFmtId="0" fontId="2" fillId="100" xfId="0" applyNumberFormat="1" applyFont="1" applyFill="1" applyBorder="0" applyAlignment="1">
      <x:alignment vertical="top" wrapText="1"/>
    </x:xf>
    <x:xf numFmtId="0" fontId="11" fillId="100" borderId="2" xfId="0" applyNumberFormat="1" applyFont="1" applyFill="1" applyBorder="1" applyAlignment="1">
      <x:alignment horizontal="center" vertical="center" wrapText="1"/>
    </x:xf>
    <x:xf numFmtId="0" fontId="33" fillId="100" borderId="2" xfId="0" applyNumberFormat="1" applyFont="1" applyFill="1" applyBorder="1" applyAlignment="1">
      <x:alignment horizontal="center" vertical="center" wrapText="1"/>
    </x:xf>
    <x:xf numFmtId="0" fontId="33" fillId="100" borderId="2" xfId="0" applyNumberFormat="1" applyFont="1" applyFill="1" applyBorder="1" applyAlignment="1">
      <x:alignment horizontal="center" vertical="top" wrapText="1"/>
    </x:xf>
    <x:xf numFmtId="0" fontId="11" fillId="101" borderId="2" xfId="0" applyNumberFormat="1" applyFont="1" applyFill="1" applyBorder="1" applyAlignment="1">
      <x:alignment horizontal="center" vertical="center" wrapText="1"/>
    </x:xf>
    <x:xf numFmtId="0" fontId="11" fillId="101" borderId="2" xfId="0" applyNumberFormat="1" applyFont="1" applyFill="1" applyBorder="1" applyAlignment="1">
      <x:alignment horizontal="center" vertical="top" wrapText="1"/>
    </x:xf>
    <x:xf numFmtId="0" fontId="1" fillId="100" borderId="0" xfId="0" applyNumberFormat="1" applyFont="1" applyFill="1" applyBorder="1" applyAlignment="1">
      <x:alignment vertical="center"/>
    </x:xf>
    <x:xf numFmtId="0" fontId="11" fillId="100" borderId="0" xfId="0" applyNumberFormat="1" applyFont="1" applyFill="1" applyBorder="1" applyAlignment="1">
      <x:alignment vertical="center"/>
    </x:xf>
    <x:xf numFmtId="0" fontId="11" fillId="100" borderId="1" xfId="0" applyNumberFormat="1" applyFont="1" applyFill="1" applyBorder="1" applyAlignment="1">
      <x:alignment vertical="top" wrapText="1"/>
    </x:xf>
    <x:xf numFmtId="0" fontId="33" fillId="100" borderId="1" xfId="0" applyNumberFormat="1" applyFont="1" applyFill="1" applyBorder="1" applyAlignment="1">
      <x:alignment vertical="top" wrapText="1"/>
    </x:xf>
    <x:xf numFmtId="0" fontId="11" fillId="101" borderId="2" xfId="0" applyNumberFormat="1" applyFont="1" applyFill="1" applyBorder="1" applyAlignment="1">
      <x:alignment vertical="top" wrapText="1"/>
    </x:xf>
    <x:xf numFmtId="0" fontId="11" fillId="102" borderId="2" xfId="0" applyNumberFormat="1" applyFont="1" applyFill="1" applyBorder="1" applyAlignment="1">
      <x:alignment vertical="top" wrapText="1"/>
    </x:xf>
    <x:xf numFmtId="0" fontId="34" fillId="102" borderId="2" xfId="0" applyNumberFormat="1" applyFont="1" applyFill="1" applyBorder="1" applyAlignment="1">
      <x:alignment vertical="top" wrapText="1"/>
    </x:xf>
    <x:xf numFmtId="0" fontId="11" fillId="100" borderId="2" xfId="0" applyNumberFormat="1" applyFont="1" applyFill="1" applyBorder="1" applyAlignment="1">
      <x:alignment vertical="top" wrapText="1"/>
    </x:xf>
    <x:xf numFmtId="0" fontId="33" fillId="100" borderId="2" xfId="0" applyNumberFormat="1" applyFont="1" applyFill="1" applyBorder="1" applyAlignment="1">
      <x:alignment vertical="top" wrapText="1"/>
    </x:xf>
    <x:xf numFmtId="0" fontId="11" fillId="100" borderId="3" xfId="0" applyNumberFormat="1" applyFont="1" applyFill="1" applyBorder="1" applyAlignment="1">
      <x:alignment vertical="top" wrapText="1"/>
    </x:xf>
    <x:xf numFmtId="0" fontId="33" fillId="100" borderId="3" xfId="0" applyNumberFormat="1" applyFont="1" applyFill="1" applyBorder="1" applyAlignment="1">
      <x:alignment vertical="top" wrapText="1"/>
    </x:xf>
    <x:xf numFmtId="0" fontId="0" fillId="103" borderId="0" xfId="0" applyNumberFormat="1" applyFont="1" applyFill="1" applyBorder="1"/>
    <x:xf numFmtId="0" fontId="1" fillId="103" borderId="0" xfId="0" applyNumberFormat="1" applyFont="1" applyFill="1" applyBorder="1"/>
    <x:xf numFmtId="0" fontId="1" fillId="103" borderId="0" xfId="0" applyNumberFormat="1" applyFont="1" applyFill="1" applyBorder="1" applyAlignment="1">
      <x:alignment vertical="center"/>
    </x:xf>
    <x:xf numFmtId="0" fontId="0" fillId="104" borderId="0" xfId="0" applyNumberFormat="1" applyFont="1" applyFill="1" applyBorder="1"/>
    <x:xf numFmtId="0" fontId="27" fillId="104" borderId="0" xfId="0" applyNumberFormat="1" applyFont="1" applyFill="1" applyBorder="1"/>
    <x:xf numFmtId="0" fontId="27" fillId="104" borderId="0" xfId="0" applyNumberFormat="1" applyFont="1" applyFill="1" applyBorder="1" applyAlignment="1">
      <x:alignment wrapText="1"/>
    </x:xf>
    <x:xf numFmtId="0" fontId="27" fillId="104" borderId="0" xfId="0" applyNumberFormat="1" applyFont="1" applyFill="1" applyBorder="1" applyAlignment="1">
      <x:alignment vertical="center" wrapText="1"/>
    </x:xf>
    <x:xf numFmtId="0" fontId="0" fillId="105" borderId="0" xfId="0" applyNumberFormat="1" applyFont="1" applyFill="1" applyBorder="1"/>
    <x:xf numFmtId="0" fontId="11" fillId="105" borderId="0" xfId="0" applyNumberFormat="1" applyFont="1" applyFill="1" applyBorder="1"/>
    <x:xf numFmtId="0" fontId="11" fillId="105" borderId="0" xfId="0" applyNumberFormat="1" applyFont="1" applyFill="1" applyBorder="1" applyAlignment="1">
      <x:alignment wrapText="1"/>
    </x:xf>
    <x:xf numFmtId="0" fontId="0" fillId="106" borderId="0" xfId="0" applyNumberFormat="1" applyFont="1" applyFill="1" applyBorder="1"/>
    <x:xf numFmtId="0" fontId="2" fillId="106" borderId="0" xfId="0" applyNumberFormat="1" applyFont="1" applyFill="1" applyBorder="1"/>
    <x:xf numFmtId="0" fontId="2" fillId="106" borderId="0" xfId="0" applyNumberFormat="1" applyFont="1" applyFill="1" applyBorder="1" applyAlignment="1">
      <x:alignment wrapText="1"/>
    </x:xf>
    <x:xf numFmtId="0" fontId="0" fillId="107" borderId="0" xfId="0" applyNumberFormat="1" applyFont="1" applyFill="1" applyBorder="1"/>
    <x:xf numFmtId="0" fontId="1" fillId="107" borderId="0" xfId="0" applyNumberFormat="1" applyFont="1" applyFill="1" applyBorder="1"/>
    <x:xf numFmtId="0" fontId="1" fillId="107" borderId="0" xfId="0" applyNumberFormat="1" applyFont="1" applyFill="1" applyBorder="1" applyAlignment="1">
      <x:alignment vertical="center"/>
    </x:xf>
    <x:xf numFmtId="0" fontId="11" fillId="105" borderId="0" xfId="0" applyNumberFormat="1" applyFont="1" applyFill="1" applyBorder="1" applyAlignment="1">
      <x:alignment horizontal="right"/>
    </x:xf>
    <x:xf numFmtId="0" fontId="11" fillId="100" borderId="0" xfId="0" applyNumberFormat="1" applyFont="1" applyFill="1" applyBorder="1"/>
    <x:xf numFmtId="0" fontId="11" fillId="100" borderId="0" xfId="0" applyNumberFormat="1" applyFont="1" applyFill="1" applyBorder="1" applyAlignment="1">
      <x:alignment horizontal="center"/>
    </x:xf>
    <x:xf numFmtId="0" fontId="2" fillId="106" borderId="0" xfId="0" applyNumberFormat="1" applyFont="1" applyFill="1" applyBorder="1" applyAlignment="1">
      <x:alignment vertical="top" wrapText="1"/>
    </x:xf>
    <x:xf numFmtId="0" fontId="0" fillId="108" borderId="0" xfId="0" applyNumberFormat="1" applyFont="1" applyFill="1" applyBorder="1"/>
    <x:xf numFmtId="0" fontId="1" fillId="108" borderId="0" xfId="0" applyNumberFormat="1" applyFont="1" applyFill="1" applyBorder="1"/>
    <x:xf numFmtId="0" fontId="0" fillId="109" borderId="0" xfId="0" applyNumberFormat="1" applyFont="1" applyFill="1" applyBorder="1"/>
    <x:xf numFmtId="0" fontId="2" fillId="109" borderId="0" xfId="0" applyNumberFormat="1" applyFont="1" applyFill="1" applyBorder="1"/>
    <x:xf numFmtId="0" fontId="2" fillId="109" borderId="1" xfId="0" applyNumberFormat="1" applyFont="1" applyFill="1" applyBorder="1"/>
    <x:xf numFmtId="0" fontId="2" fillId="109" borderId="1" xfId="0" applyNumberFormat="1" applyFont="1" applyFill="1" applyBorder="1" applyAlignment="1">
      <x:alignment wrapText="1"/>
    </x:xf>
    <x:xf numFmtId="0" fontId="2" fillId="109" borderId="1" xfId="0" applyNumberFormat="1" applyFont="1" applyFill="1" applyBorder="1" applyAlignment="1">
      <x:alignment vertical="top" wrapText="1"/>
    </x:xf>
    <x:xf numFmtId="0" fontId="28" fillId="109" borderId="1" xfId="0" applyNumberFormat="1" applyFont="1" applyFill="1" applyBorder="1" applyAlignment="1">
      <x:alignment vertical="top" wrapText="1"/>
    </x:xf>
    <x:xf numFmtId="0" fontId="11" fillId="109" borderId="1" xfId="0" applyNumberFormat="1" applyFont="1" applyFill="1" applyBorder="1" applyAlignment="1">
      <x:alignment vertical="top" wrapText="1"/>
    </x:xf>
    <x:xf numFmtId="0" fontId="2" fillId="106" borderId="1" xfId="0" applyNumberFormat="1" applyFont="1" applyFill="1" applyBorder="1"/>
    <x:xf numFmtId="0" fontId="2" fillId="106" borderId="1" xfId="0" applyNumberFormat="1" applyFont="1" applyFill="1" applyBorder="1" applyAlignment="1">
      <x:alignment wrapText="1"/>
    </x:xf>
    <x:xf numFmtId="0" fontId="2" fillId="106" borderId="1" xfId="0" applyNumberFormat="1" applyFont="1" applyFill="1" applyBorder="1" applyAlignment="1">
      <x:alignment vertical="top" wrapText="1"/>
    </x:xf>
    <x:xf numFmtId="0" fontId="28" fillId="106" borderId="1" xfId="0" applyNumberFormat="1" applyFont="1" applyFill="1" applyBorder="1" applyAlignment="1">
      <x:alignment vertical="top" wrapText="1"/>
    </x:xf>
    <x:xf numFmtId="0" fontId="11" fillId="106" borderId="1" xfId="0" applyNumberFormat="1" applyFont="1" applyFill="1" applyBorder="1" applyAlignment="1">
      <x:alignment vertical="top" wrapText="1"/>
    </x:xf>
    <x:xf numFmtId="0" fontId="0" fillId="110" borderId="0" xfId="0" applyNumberFormat="1" applyFont="1" applyFill="1" applyBorder="1"/>
    <x:xf numFmtId="0" fontId="11" fillId="110" borderId="0" xfId="0" applyNumberFormat="1" applyFont="1" applyFill="1" applyBorder="1"/>
    <x:xf numFmtId="0" fontId="0" fillId="101" borderId="0" xfId="0" applyNumberFormat="1" applyFont="1" applyFill="1" applyBorder="1"/>
    <x:xf numFmtId="0" fontId="2" fillId="101" borderId="0" xfId="0" applyNumberFormat="1" applyFont="1" applyFill="1" applyBorder="1"/>
    <x:xf numFmtId="0" fontId="2" fillId="101" borderId="0" xfId="0" applyNumberFormat="1" applyFont="1" applyFill="1" applyBorder="1" applyAlignment="1">
      <x:alignment wrapText="1"/>
    </x:xf>
    <x:xf numFmtId="0" fontId="2" fillId="101" borderId="0" xfId="0" applyNumberFormat="1" applyFont="1" applyFill="1" applyBorder="1" applyAlignment="1">
      <x:alignment vertical="top" wrapText="1"/>
    </x:xf>
    <x:xf numFmtId="0" fontId="1" fillId="108" borderId="10" xfId="0" applyNumberFormat="1" applyFont="1" applyFill="1" applyBorder="1"/>
    <x:xf numFmtId="0" fontId="1" fillId="108" borderId="11" xfId="0" applyNumberFormat="1" applyFont="1" applyFill="1" applyBorder="1"/>
    <x:xf numFmtId="0" fontId="1" fillId="108" borderId="12" xfId="0" applyNumberFormat="1" applyFont="1" applyFill="1" applyBorder="1"/>
    <x:xf numFmtId="0" fontId="1" fillId="108" borderId="10" xfId="0" applyNumberFormat="1" applyFont="1" applyFill="1" applyBorder="1" applyAlignment="1">
      <x:alignment wrapText="1"/>
    </x:xf>
    <x:xf numFmtId="0" fontId="1" fillId="108" borderId="11" xfId="0" applyNumberFormat="1" applyFont="1" applyFill="1" applyBorder="1" applyAlignment="1">
      <x:alignment wrapText="1"/>
    </x:xf>
    <x:xf numFmtId="0" fontId="1" fillId="108" borderId="12" xfId="0" applyNumberFormat="1" applyFont="1" applyFill="1" applyBorder="1" applyAlignment="1">
      <x:alignment wrapText="1"/>
    </x:xf>
    <x:xf numFmtId="0" fontId="1" fillId="108" borderId="10" xfId="0" applyNumberFormat="1" applyFont="1" applyFill="1" applyBorder="1" applyAlignment="1">
      <x:alignment vertical="center" wrapText="1"/>
    </x:xf>
    <x:xf numFmtId="0" fontId="1" fillId="108" borderId="11" xfId="0" applyNumberFormat="1" applyFont="1" applyFill="1" applyBorder="1" applyAlignment="1">
      <x:alignment vertical="center" wrapText="1"/>
    </x:xf>
    <x:xf numFmtId="0" fontId="1" fillId="108" borderId="12" xfId="0" applyNumberFormat="1" applyFont="1" applyFill="1" applyBorder="1" applyAlignment="1">
      <x:alignment vertical="center" wrapText="1"/>
    </x:xf>
    <x:xf numFmtId="0" fontId="2" fillId="106" borderId="2" xfId="0" applyNumberFormat="1" applyFont="1" applyFill="1" applyBorder="1" applyAlignment="1">
      <x:alignment vertical="top" wrapText="1"/>
    </x:xf>
    <x:xf numFmtId="0" fontId="2" fillId="109" borderId="2" xfId="0" applyNumberFormat="1" applyFont="1" applyFill="1" applyBorder="1" applyAlignment="1">
      <x:alignment vertical="top" wrapText="1"/>
    </x:xf>
    <x:xf numFmtId="0" fontId="2" fillId="106" borderId="3" xfId="0" applyNumberFormat="1" applyFont="1" applyFill="1" applyBorder="1" applyAlignment="1">
      <x:alignment vertical="top" wrapText="1"/>
    </x:xf>
    <x:xf numFmtId="0" fontId="2" fillId="101" borderId="1" xfId="0" applyNumberFormat="1" applyFont="1" applyFill="1" applyBorder="1" applyAlignment="1">
      <x:alignment vertical="top" wrapText="1"/>
    </x:xf>
    <x:xf numFmtId="0" fontId="2" fillId="101" borderId="2" xfId="0" applyNumberFormat="1" applyFont="1" applyFill="1" applyBorder="1" applyAlignment="1">
      <x:alignment vertical="top" wrapText="1"/>
    </x:xf>
    <x:xf numFmtId="0" fontId="2" fillId="101" borderId="3" xfId="0" applyNumberFormat="1" applyFont="1" applyFill="1" applyBorder="1" applyAlignment="1">
      <x:alignment vertical="top" wrapText="1"/>
    </x:xf>
    <x:xf numFmtId="0" fontId="11" fillId="101" borderId="1" xfId="0" applyNumberFormat="1" applyFont="1" applyFill="1" applyBorder="1" applyAlignment="1">
      <x:alignment vertical="top" wrapText="1"/>
    </x:xf>
    <x:xf numFmtId="0" fontId="11" fillId="101" borderId="3" xfId="0" applyNumberFormat="1" applyFont="1" applyFill="1" applyBorder="1" applyAlignment="1">
      <x:alignment vertical="top" wrapText="1"/>
    </x:xf>
    <x:xf numFmtId="0" fontId="2" fillId="109" borderId="3" xfId="0" applyNumberFormat="1" applyFont="1" applyFill="1" applyBorder="1" applyAlignment="1">
      <x:alignment vertical="top" wrapText="1"/>
    </x:xf>
    <x:xf numFmtId="0" fontId="2" fillId="100" borderId="1" xfId="0" applyNumberFormat="1" applyFont="1" applyFill="1" applyBorder="1" applyAlignment="1">
      <x:alignment vertical="top" wrapText="1"/>
    </x:xf>
    <x:xf numFmtId="0" fontId="2" fillId="100" borderId="2" xfId="0" applyNumberFormat="1" applyFont="1" applyFill="1" applyBorder="1" applyAlignment="1">
      <x:alignment vertical="top" wrapText="1"/>
    </x:xf>
    <x:xf numFmtId="0" fontId="2" fillId="100" borderId="3" xfId="0" applyNumberFormat="1" applyFont="1" applyFill="1" applyBorder="1" applyAlignment="1">
      <x:alignment vertical="top" wrapText="1"/>
    </x:xf>
    <x:xf numFmtId="0" fontId="0" fillId="111" borderId="0" xfId="0" applyNumberFormat="1" applyFont="1" applyFill="1" applyBorder="1"/>
    <x:xf numFmtId="0" fontId="2" fillId="111" borderId="0" xfId="0" applyNumberFormat="1" applyFont="1" applyFill="1" applyBorder="1"/>
    <x:xf numFmtId="0" fontId="2" fillId="111" xfId="0" applyNumberFormat="1" applyFont="1" applyFill="1" applyBorder="0"/>
    <x:xf numFmtId="0" fontId="2" fillId="111" xfId="0" applyNumberFormat="1" applyFont="1" applyFill="1" applyBorder="0" applyAlignment="1">
      <x:alignment wrapText="1"/>
    </x:xf>
    <x:xf numFmtId="0" fontId="2" fillId="111" xfId="0" applyNumberFormat="1" applyFont="1" applyFill="1" applyBorder="0" applyAlignment="1">
      <x:alignment vertical="top" wrapText="1"/>
    </x:xf>
    <x:xf numFmtId="0" fontId="11" fillId="111" borderId="2" xfId="0" applyNumberFormat="1" applyFont="1" applyFill="1" applyBorder="1" applyAlignment="1">
      <x:alignment horizontal="center" vertical="top" wrapText="1"/>
    </x:xf>
    <x:xf numFmtId="0" fontId="33" fillId="111" borderId="2" xfId="0" applyNumberFormat="1" applyFont="1" applyFill="1" applyBorder="1" applyAlignment="1">
      <x:alignment horizontal="center" vertical="top" wrapText="1"/>
    </x:xf>
    <x:xf numFmtId="0" fontId="11" fillId="112" borderId="3" xfId="0" applyNumberFormat="1" applyFont="1" applyFill="1" applyBorder="1" applyAlignment="1">
      <x:alignment horizontal="center" vertical="center" wrapText="1"/>
    </x:xf>
    <x:xf numFmtId="0" fontId="11" fillId="112" borderId="3" xfId="0" applyNumberFormat="1" applyFont="1" applyFill="1" applyBorder="1" applyAlignment="1">
      <x:alignment horizontal="center" vertical="top" wrapText="1"/>
    </x:xf>
    <x:xf numFmtId="0" fontId="1" fillId="111" borderId="0" xfId="0" applyNumberFormat="1" applyFont="1" applyFill="1" applyBorder="1" applyAlignment="1">
      <x:alignment vertical="center"/>
    </x:xf>
    <x:xf numFmtId="0" fontId="11" fillId="111" borderId="0" xfId="0" applyNumberFormat="1" applyFont="1" applyFill="1" applyBorder="1" applyAlignment="1">
      <x:alignment vertical="center"/>
    </x:xf>
    <x:xf numFmtId="0" fontId="11" fillId="111" borderId="0" xfId="0" applyNumberFormat="1" applyFont="1" applyFill="1" applyBorder="1"/>
    <x:xf numFmtId="0" fontId="2" fillId="113" borderId="0" xfId="0" applyNumberFormat="1" applyFont="1" applyFill="1" applyBorder="1" applyAlignment="1">
      <x:alignment vertical="top" wrapText="1"/>
    </x:xf>
    <x:xf numFmtId="0" fontId="11" fillId="111" borderId="1" xfId="0" applyNumberFormat="1" applyFont="1" applyFill="1" applyBorder="1" applyAlignment="1">
      <x:alignment vertical="top" wrapText="1"/>
    </x:xf>
    <x:xf numFmtId="0" fontId="11" fillId="111" borderId="2" xfId="0" applyNumberFormat="1" applyFont="1" applyFill="1" applyBorder="1" applyAlignment="1">
      <x:alignment vertical="top" wrapText="1"/>
    </x:xf>
    <x:xf numFmtId="0" fontId="11" fillId="111" borderId="3" xfId="0" applyNumberFormat="1" applyFont="1" applyFill="1" applyBorder="1" applyAlignment="1">
      <x:alignment vertical="top" wrapText="1"/>
    </x:xf>
    <x:xf numFmtId="0" fontId="33" fillId="111" borderId="1" xfId="0" applyNumberFormat="1" applyFont="1" applyFill="1" applyBorder="1" applyAlignment="1">
      <x:alignment vertical="top" wrapText="1"/>
    </x:xf>
    <x:xf numFmtId="0" fontId="33" fillId="111" borderId="2" xfId="0" applyNumberFormat="1" applyFont="1" applyFill="1" applyBorder="1" applyAlignment="1">
      <x:alignment vertical="top" wrapText="1"/>
    </x:xf>
    <x:xf numFmtId="0" fontId="33" fillId="111" borderId="3" xfId="0" applyNumberFormat="1" applyFont="1" applyFill="1" applyBorder="1" applyAlignment="1">
      <x:alignment vertical="top" wrapText="1"/>
    </x:xf>
    <x:xf numFmtId="0" fontId="11" fillId="112" borderId="1" xfId="0" applyNumberFormat="1" applyFont="1" applyFill="1" applyBorder="1" applyAlignment="1">
      <x:alignment vertical="top" wrapText="1"/>
    </x:xf>
    <x:xf numFmtId="0" fontId="11" fillId="112" borderId="2" xfId="0" applyNumberFormat="1" applyFont="1" applyFill="1" applyBorder="1" applyAlignment="1">
      <x:alignment vertical="top" wrapText="1"/>
    </x:xf>
    <x:xf numFmtId="0" fontId="11" fillId="112" borderId="3" xfId="0" applyNumberFormat="1" applyFont="1" applyFill="1" applyBorder="1" applyAlignment="1">
      <x:alignment vertical="top" wrapText="1"/>
    </x:xf>
    <x:xf numFmtId="0" fontId="0" fillId="114" borderId="0" xfId="0" applyNumberFormat="1" applyFont="1" applyFill="1" applyBorder="1"/>
    <x:xf numFmtId="0" fontId="1" fillId="114" borderId="0" xfId="0" applyNumberFormat="1" applyFont="1" applyFill="1" applyBorder="1"/>
    <x:xf numFmtId="0" fontId="1" fillId="114" borderId="0" xfId="0" applyNumberFormat="1" applyFont="1" applyFill="1" applyBorder="1" applyAlignment="1">
      <x:alignment vertical="center"/>
    </x:xf>
    <x:xf numFmtId="0" fontId="0" fillId="115" borderId="0" xfId="0" applyNumberFormat="1" applyFont="1" applyFill="1" applyBorder="1"/>
    <x:xf numFmtId="0" fontId="27" fillId="115" borderId="0" xfId="0" applyNumberFormat="1" applyFont="1" applyFill="1" applyBorder="1"/>
    <x:xf numFmtId="0" fontId="27" fillId="115" borderId="0" xfId="0" applyNumberFormat="1" applyFont="1" applyFill="1" applyBorder="1" applyAlignment="1">
      <x:alignment wrapText="1"/>
    </x:xf>
    <x:xf numFmtId="0" fontId="27" fillId="115" borderId="0" xfId="0" applyNumberFormat="1" applyFont="1" applyFill="1" applyBorder="1" applyAlignment="1">
      <x:alignment vertical="center" wrapText="1"/>
    </x:xf>
    <x:xf numFmtId="0" fontId="0" fillId="116" borderId="0" xfId="0" applyNumberFormat="1" applyFont="1" applyFill="1" applyBorder="1"/>
    <x:xf numFmtId="0" fontId="1" fillId="116" borderId="0" xfId="0" applyNumberFormat="1" applyFont="1" applyFill="1" applyBorder="1"/>
    <x:xf numFmtId="0" fontId="0" fillId="117" borderId="0" xfId="0" applyNumberFormat="1" applyFont="1" applyFill="1" applyBorder="1"/>
    <x:xf numFmtId="0" fontId="11" fillId="117" borderId="0" xfId="0" applyNumberFormat="1" applyFont="1" applyFill="1" applyBorder="1"/>
    <x:xf numFmtId="0" fontId="11" fillId="117" borderId="0" xfId="0" applyNumberFormat="1" applyFont="1" applyFill="1" applyBorder="1" applyAlignment="1">
      <x:alignment wrapText="1"/>
    </x:xf>
    <x:xf numFmtId="0" fontId="0" fillId="113" borderId="0" xfId="0" applyNumberFormat="1" applyFont="1" applyFill="1" applyBorder="1"/>
    <x:xf numFmtId="0" fontId="2" fillId="113" borderId="0" xfId="0" applyNumberFormat="1" applyFont="1" applyFill="1" applyBorder="1"/>
    <x:xf numFmtId="0" fontId="2" fillId="113" borderId="0" xfId="0" applyNumberFormat="1" applyFont="1" applyFill="1" applyBorder="1" applyAlignment="1">
      <x:alignment wrapText="1"/>
    </x:xf>
    <x:xf numFmtId="0" fontId="33" fillId="111" borderId="0" xfId="0" applyNumberFormat="1" applyFont="1" applyFill="1" applyBorder="1"/>
    <x:xf numFmtId="0" fontId="33" fillId="111" borderId="0" xfId="0" applyNumberFormat="1" applyFont="1" applyFill="1" applyBorder="1" applyAlignment="1">
      <x:alignment wrapText="1"/>
    </x:xf>
    <x:xf numFmtId="0" fontId="33" fillId="111" borderId="0" xfId="0" applyNumberFormat="1" applyFont="1" applyFill="1" applyBorder="1" applyAlignment="1">
      <x:alignment vertical="top" wrapText="1"/>
    </x:xf>
    <x:xf numFmtId="0" fontId="33" fillId="111" borderId="0" xfId="0" applyNumberFormat="1" applyFont="1" applyFill="1" applyBorder="1" applyAlignment="1">
      <x:alignment horizontal="center" vertical="top" wrapText="1"/>
    </x:xf>
    <x:xf numFmtId="0" fontId="1" fillId="115" borderId="0" xfId="0" applyNumberFormat="1" applyFont="1" applyFill="1" applyBorder="1"/>
    <x:xf numFmtId="0" fontId="0" fillId="112" borderId="0" xfId="0" applyNumberFormat="1" applyFont="1" applyFill="1" applyBorder="1"/>
    <x:xf numFmtId="0" fontId="11" fillId="112" borderId="0" xfId="0" applyNumberFormat="1" applyFont="1" applyFill="1" applyBorder="1"/>
    <x:xf numFmtId="0" fontId="11" fillId="112" borderId="0" xfId="0" applyNumberFormat="1" applyFont="1" applyFill="1" applyBorder="1" applyAlignment="1">
      <x:alignment wrapText="1"/>
    </x:xf>
    <x:xf numFmtId="0" fontId="11" fillId="112" borderId="0" xfId="0" applyNumberFormat="1" applyFont="1" applyFill="1" applyBorder="1" applyAlignment="1">
      <x:alignment vertical="top" wrapText="1"/>
    </x:xf>
    <x:xf numFmtId="0" fontId="0" fillId="118" borderId="0" xfId="0" applyNumberFormat="1" applyFont="1" applyFill="1" applyBorder="1"/>
    <x:xf numFmtId="0" fontId="34" fillId="118" borderId="0" xfId="0" applyNumberFormat="1" applyFont="1" applyFill="1" applyBorder="1"/>
    <x:xf numFmtId="0" fontId="34" fillId="118" borderId="0" xfId="0" applyNumberFormat="1" applyFont="1" applyFill="1" applyBorder="1" applyAlignment="1">
      <x:alignment wrapText="1"/>
    </x:xf>
    <x:xf numFmtId="0" fontId="34" fillId="118" borderId="0" xfId="0" applyNumberFormat="1" applyFont="1" applyFill="1" applyBorder="1" applyAlignment="1">
      <x:alignment vertical="top" wrapText="1"/>
    </x:xf>
    <x:xf numFmtId="0" fontId="0" fillId="119" borderId="0" xfId="0" applyNumberFormat="1" applyFont="1" applyFill="1" applyBorder="1"/>
    <x:xf numFmtId="0" fontId="11" fillId="119" borderId="0" xfId="0" applyNumberFormat="1" applyFont="1" applyFill="1" applyBorder="1"/>
    <x:xf numFmtId="0" fontId="2" fillId="112" borderId="0" xfId="0" applyNumberFormat="1" applyFont="1" applyFill="1" applyBorder="1"/>
    <x:xf numFmtId="0" fontId="2" fillId="112" borderId="0" xfId="0" applyNumberFormat="1" applyFont="1" applyFill="1" applyBorder="1" applyAlignment="1">
      <x:alignment wrapText="1"/>
    </x:xf>
    <x:xf numFmtId="0" fontId="2" fillId="112" borderId="0" xfId="0" applyNumberFormat="1" applyFont="1" applyFill="1" applyBorder="1" applyAlignment="1">
      <x:alignment vertical="top" wrapText="1"/>
    </x:xf>
  </x:cellXfs>
  <x:cellStyles count="1">
    <x:cellStyle name="Normal" xfId="0"/>
  </x:cellStyles>
  <x:dxfs count="11">
    <x:dxf>
      <x:font>
        <x:b/>
        <x:color rgb="FF8B1E2D"/>
      </x:font>
      <x:fill>
        <x:patternFill>
          <x:bgColor rgb="FFF8D7DA"/>
        </x:patternFill>
      </x:fill>
    </x:dxf>
    <x:dxf>
      <x:font>
        <x:color rgb="FF8A3D1D"/>
      </x:font>
      <x:fill>
        <x:patternFill>
          <x:bgColor rgb="FFFCE6D8"/>
        </x:patternFill>
      </x:fill>
    </x:dxf>
    <x:dxf>
      <x:font>
        <x:b/>
        <x:color rgb="FF705200"/>
      </x:font>
      <x:fill>
        <x:patternFill>
          <x:bgColor rgb="FFFFF0C2"/>
        </x:patternFill>
      </x:fill>
    </x:dxf>
    <x:dxf>
      <x:font>
        <x:b/>
        <x:color rgb="FF8A3D1D"/>
      </x:font>
      <x:fill>
        <x:patternFill>
          <x:bgColor rgb="FFFCE6D8"/>
        </x:patternFill>
      </x:fill>
    </x:dxf>
    <x:dxf>
      <x:font>
        <x:color rgb="FF275B38"/>
      </x:font>
      <x:fill>
        <x:patternFill>
          <x:bgColor rgb="FFDCEEDD"/>
        </x:patternFill>
      </x:fill>
    </x:dxf>
    <x:dxf>
      <x:font>
        <x:b/>
        <x:color rgb="FF705200"/>
      </x:font>
      <x:fill>
        <x:patternFill>
          <x:bgColor rgb="FFFFF0C2"/>
        </x:patternFill>
      </x:fill>
    </x:dxf>
    <x:dxf>
      <x:font>
        <x:color rgb="FF275B38"/>
      </x:font>
      <x:fill>
        <x:patternFill>
          <x:bgColor rgb="FFDCEEDD"/>
        </x:patternFill>
      </x:fill>
    </x:dxf>
    <x:dxf>
      <x:font>
        <x:b/>
        <x:color rgb="FF705200"/>
      </x:font>
      <x:fill>
        <x:patternFill>
          <x:bgColor rgb="FFFFF0C2"/>
        </x:patternFill>
      </x:fill>
    </x:dxf>
    <x:dxf>
      <x:font>
        <x:color rgb="FF275B38"/>
      </x:font>
      <x:fill>
        <x:patternFill>
          <x:bgColor rgb="FFDCEEDD"/>
        </x:patternFill>
      </x:fill>
    </x:dxf>
    <x:dxf>
      <x:font>
        <x:b/>
        <x:color rgb="FF102A36"/>
      </x:font>
      <x:fill>
        <x:patternFill>
          <x:bgColor rgb="FFFFF2C8"/>
        </x:patternFill>
      </x:fill>
    </x:dxf>
    <x:dxf>
      <x:font>
        <x:b/>
        <x:color rgb="FF102A36"/>
      </x:font>
      <x:fill>
        <x:patternFill>
          <x:bgColor rgb="FFFFF2C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8e847b593e74acf" /><Relationship Type="http://schemas.openxmlformats.org/officeDocument/2006/relationships/theme" Target="/xl/theme/theme1.xml" Id="R17c6c20b452a4817" /><Relationship Type="http://schemas.openxmlformats.org/officeDocument/2006/relationships/sharedStrings" Target="/xl/sharedStrings.xml" Id="R154b04b25ffc4e6f" /><Relationship Type="http://schemas.openxmlformats.org/officeDocument/2006/relationships/worksheet" Target="/xl/worksheets/sheet1.xml" Id="Rc2bb26b13ac14354" /><Relationship Type="http://schemas.openxmlformats.org/officeDocument/2006/relationships/worksheet" Target="/xl/worksheets/sheet2.xml" Id="Re80a2795e9044876" /><Relationship Type="http://schemas.openxmlformats.org/officeDocument/2006/relationships/worksheet" Target="/xl/worksheets/sheet3.xml" Id="R37c0dc88da2c4fc5" /><Relationship Type="http://schemas.openxmlformats.org/officeDocument/2006/relationships/worksheet" Target="/xl/worksheets/sheet4.xml" Id="R8b6aae7345fa4c36" /><Relationship Type="http://schemas.openxmlformats.org/officeDocument/2006/relationships/worksheet" Target="/xl/worksheets/sheet5.xml" Id="R25c8517bff004a92" /><Relationship Type="http://schemas.openxmlformats.org/officeDocument/2006/relationships/worksheet" Target="/xl/worksheets/sheet6.xml" Id="Ra8d3ff5541084206" /><Relationship Type="http://schemas.openxmlformats.org/officeDocument/2006/relationships/worksheet" Target="/xl/worksheets/sheet7.xml" Id="Ra6e073bf79a04e18" /><Relationship Type="http://schemas.openxmlformats.org/officeDocument/2006/relationships/worksheet" Target="/xl/worksheets/sheet8.xml" Id="Re61be84021674ba9" /><Relationship Type="http://schemas.openxmlformats.org/officeDocument/2006/relationships/worksheet" Target="/xl/worksheets/sheet9.xml" Id="R206502bfc1524867" /><Relationship Type="http://schemas.openxmlformats.org/officeDocument/2006/relationships/worksheet" Target="/xl/worksheets/sheet10.xml" Id="Re1961257ff284921" /><Relationship Type="http://schemas.openxmlformats.org/officeDocument/2006/relationships/worksheet" Target="/xl/worksheets/sheet11.xml" Id="R0171234722974e17" /><Relationship Type="http://schemas.openxmlformats.org/officeDocument/2006/relationships/worksheet" Target="/xl/worksheets/sheet12.xml" Id="R6e81be9829854125" /><Relationship Type="http://schemas.openxmlformats.org/officeDocument/2006/relationships/worksheet" Target="/xl/worksheets/sheet13.xml" Id="R7ec0e2bf87d64dab" /><Relationship Type="http://schemas.openxmlformats.org/officeDocument/2006/relationships/worksheet" Target="/xl/worksheets/sheet14.xml" Id="Rfdf29a5583b24678" /><Relationship Type="http://schemas.openxmlformats.org/officeDocument/2006/relationships/worksheet" Target="/xl/worksheets/sheet15.xml" Id="R75d8a9d9c80d4cb0" /><Relationship Type="http://schemas.openxmlformats.org/officeDocument/2006/relationships/worksheet" Target="/xl/worksheets/sheet16.xml" Id="R337238ff176e40cd" /><Relationship Type="http://schemas.openxmlformats.org/officeDocument/2006/relationships/worksheet" Target="/xl/worksheets/sheet17.xml" Id="R2157c25db21f429c" /><Relationship Type="http://schemas.openxmlformats.org/officeDocument/2006/relationships/worksheet" Target="/xl/worksheets/sheet18.xml" Id="R339d4c9c8a0b4b9c" /><Relationship Type="http://schemas.openxmlformats.org/officeDocument/2006/relationships/worksheet" Target="/xl/worksheets/sheet19.xml" Id="R304e61f7c1554aa6" /><Relationship Type="http://schemas.openxmlformats.org/officeDocument/2006/relationships/worksheet" Target="/xl/worksheets/sheet20.xml" Id="Rfd78b9b61e2f4154" /><Relationship Type="http://schemas.openxmlformats.org/officeDocument/2006/relationships/worksheet" Target="/xl/worksheets/sheet21.xml" Id="R7f9a65292da64589" /><Relationship Type="http://schemas.openxmlformats.org/officeDocument/2006/relationships/worksheet" Target="/xl/worksheets/sheet22.xml" Id="R4b418e979eb24ff4" /><Relationship Type="http://schemas.openxmlformats.org/officeDocument/2006/relationships/worksheet" Target="/xl/worksheets/sheet23.xml" Id="Re8bc24831ed641f0" /><Relationship Type="http://schemas.openxmlformats.org/officeDocument/2006/relationships/worksheet" Target="/xl/worksheets/sheet24.xml" Id="R770169bd190c4a4a" /><Relationship Type="http://schemas.openxmlformats.org/officeDocument/2006/relationships/worksheet" Target="/xl/worksheets/sheet25.xml" Id="Ra3208d5f06ec4a19" /><Relationship Type="http://schemas.openxmlformats.org/officeDocument/2006/relationships/worksheet" Target="/xl/worksheets/sheet26.xml" Id="R39d85683e6a044b7" /><Relationship Type="http://schemas.openxmlformats.org/officeDocument/2006/relationships/worksheet" Target="/xl/worksheets/sheet27.xml" Id="Ra723264e496b4884" /><Relationship Type="http://schemas.openxmlformats.org/officeDocument/2006/relationships/worksheet" Target="/xl/worksheets/sheet28.xml" Id="R525838d133a64308" /><Relationship Type="http://schemas.openxmlformats.org/officeDocument/2006/relationships/worksheet" Target="/xl/worksheets/sheet29.xml" Id="Rfb1e9fe7b5dc4fe4" /><Relationship Type="http://schemas.openxmlformats.org/officeDocument/2006/relationships/worksheet" Target="/xl/worksheets/sheet30.xml" Id="Rd9456eda2ed44f6c" /><Relationship Type="http://schemas.openxmlformats.org/officeDocument/2006/relationships/worksheet" Target="/xl/worksheets/sheet31.xml" Id="R50ef89e565054eff" /><Relationship Type="http://schemas.openxmlformats.org/officeDocument/2006/relationships/worksheet" Target="/xl/worksheets/sheet32.xml" Id="Rc41d35cc12234bc8" /><Relationship Type="http://schemas.openxmlformats.org/officeDocument/2006/relationships/worksheet" Target="/xl/worksheets/sheet33.xml" Id="Rdaed18858da2421d" /><Relationship Type="http://schemas.openxmlformats.org/officeDocument/2006/relationships/worksheet" Target="/xl/worksheets/sheet34.xml" Id="R1d835ca845d14ca6" /><Relationship Type="http://schemas.openxmlformats.org/officeDocument/2006/relationships/worksheet" Target="/xl/worksheets/sheet35.xml" Id="Rf99c2737432c41a8" /><Relationship Type="http://schemas.openxmlformats.org/officeDocument/2006/relationships/worksheet" Target="/xl/worksheets/sheet36.xml" Id="Rcfe9a5513c6c4c87" /><Relationship Type="http://schemas.openxmlformats.org/officeDocument/2006/relationships/worksheet" Target="/xl/worksheets/sheet37.xml" Id="R98288d5dc48c4841" /><Relationship Type="http://schemas.openxmlformats.org/officeDocument/2006/relationships/worksheet" Target="/xl/worksheets/sheet38.xml" Id="R794bc7498b8f489e" /><Relationship Type="http://schemas.openxmlformats.org/officeDocument/2006/relationships/worksheet" Target="/xl/worksheets/sheet39.xml" Id="Rcf83d83fa5cb4f5b" /><Relationship Type="http://schemas.openxmlformats.org/officeDocument/2006/relationships/worksheet" Target="/xl/worksheets/sheet40.xml" Id="R6602424aba0848f1" /><Relationship Type="http://schemas.openxmlformats.org/officeDocument/2006/relationships/worksheet" Target="/xl/worksheets/sheet41.xml" Id="R4210265e17574699" /><Relationship Type="http://schemas.openxmlformats.org/officeDocument/2006/relationships/worksheet" Target="/xl/worksheets/sheet42.xml" Id="R3bd6e503d0414a1f" /><Relationship Type="http://schemas.openxmlformats.org/officeDocument/2006/relationships/worksheet" Target="/xl/worksheets/sheet43.xml" Id="Rb0d7d6376cec4684" /><Relationship Type="http://schemas.openxmlformats.org/officeDocument/2006/relationships/worksheet" Target="/xl/worksheets/sheet44.xml" Id="Rd4b3b27f45694627" /><Relationship Type="http://schemas.openxmlformats.org/officeDocument/2006/relationships/worksheet" Target="/xl/worksheets/sheet45.xml" Id="Rd95a9c541a04442b" /><Relationship Type="http://schemas.openxmlformats.org/officeDocument/2006/relationships/worksheet" Target="/xl/worksheets/sheet46.xml" Id="R84bae1ac70f247da" /><Relationship Type="http://schemas.openxmlformats.org/officeDocument/2006/relationships/worksheet" Target="/xl/worksheets/sheet47.xml" Id="R2c77bc49f0b144b3" /><Relationship Type="http://schemas.openxmlformats.org/officeDocument/2006/relationships/worksheet" Target="/xl/worksheets/sheet48.xml" Id="R5af2e54ab969429f" /><Relationship Type="http://schemas.openxmlformats.org/officeDocument/2006/relationships/worksheet" Target="/xl/worksheets/sheet49.xml" Id="R6e9901fcb8e24087" /><Relationship Type="http://schemas.openxmlformats.org/officeDocument/2006/relationships/worksheet" Target="/xl/worksheets/sheet50.xml" Id="Rd4cac15b4cb84ff2" /><Relationship Type="http://schemas.openxmlformats.org/officeDocument/2006/relationships/worksheet" Target="/xl/worksheets/sheet51.xml" Id="R8f9744897ed74c00" /><Relationship Type="http://schemas.openxmlformats.org/officeDocument/2006/relationships/worksheet" Target="/xl/worksheets/sheet52.xml" Id="R2041081d81fc441f" /><Relationship Type="http://schemas.openxmlformats.org/officeDocument/2006/relationships/worksheet" Target="/xl/worksheets/sheet53.xml" Id="R40bb05efa5a34571" /></Relationships>
</file>

<file path=xl/tables/table1.xml><?xml version="1.0" encoding="utf-8"?>
<x:table xmlns:x="http://schemas.openxmlformats.org/spreadsheetml/2006/main" id="1" name="TraceabilityTable" displayName="TraceabilityTable" ref="A5:Z136" headerRowCount="1" totalsRowCount="0" totalsRowShown="0">
  <x:autoFilter ref="A5:Z136"/>
  <x:tableColumns count="26">
    <x:tableColumn id="1" name="Requirement ID"/>
    <x:tableColumn id="2" name="Domain"/>
    <x:tableColumn id="3" name="Engine Entity / Event"/>
    <x:tableColumn id="4" name="Constitution Source"/>
    <x:tableColumn id="5" name="Trigger / State"/>
    <x:tableColumn id="6" name="Player May See"/>
    <x:tableColumn id="7" name="Active Character May Know"/>
    <x:tableColumn id="8" name="Must Remain Hidden"/>
    <x:tableColumn id="9" name="Allowed Player Actions"/>
    <x:tableColumn id="10" name="Clarify / Confirm"/>
    <x:tableColumn id="11" name="Success / Normal State"/>
    <x:tableColumn id="12" name="Failure / Empty State"/>
    <x:tableColumn id="13" name="Loading / Pending State"/>
    <x:tableColumn id="14" name="Stale / Conflict State"/>
    <x:tableColumn id="15" name="Provenance / Audit"/>
    <x:tableColumn id="16" name="Accessibility Implications"/>
    <x:tableColumn id="17" name="Primary Surface"/>
    <x:tableColumn id="18" name="Secondary Surface"/>
    <x:tableColumn id="19" name="Risk"/>
    <x:tableColumn id="20" name="UX Priority"/>
    <x:tableColumn id="21" name="Coverage Status"/>
    <x:tableColumn id="22" name="Gap ID"/>
    <x:tableColumn id="23" name="Notes"/>
    <x:tableColumn id="24" name="State Coverage %"/>
    <x:tableColumn id="25" name="UX Field Coverage %"/>
    <x:tableColumn id="26" name="Review Flag"/>
  </x:tableColumns>
  <x:tableStyleInfo name="TableStyleMedium2" showFirstColumn="0" showLastColumn="0" showRowStripes="1" showColumnStripes="0"/>
</x:table>
</file>

<file path=xl/tables/table2.xml><?xml version="1.0" encoding="utf-8"?>
<x:table xmlns:x="http://schemas.openxmlformats.org/spreadsheetml/2006/main" id="2" name="GapRegisterTable" displayName="GapRegisterTable" ref="A4:J23" headerRowCount="1" totalsRowCount="0" totalsRowShown="0">
  <x:tableColumns count="10">
    <x:tableColumn id="1" name="Gap ID"/>
    <x:tableColumn id="2" name="Gap"/>
    <x:tableColumn id="3" name="Severity"/>
    <x:tableColumn id="4" name="Status"/>
    <x:tableColumn id="5" name="Domain"/>
    <x:tableColumn id="6" name="Linked Requirements"/>
    <x:tableColumn id="7" name="Decision Needed"/>
    <x:tableColumn id="8" name="Recommended Design Work"/>
    <x:tableColumn id="9" name="Constitution Source"/>
    <x:tableColumn id="10" name="Guardrail"/>
  </x:tableColumns>
  <x:tableStyleInfo name="TableStyleMedium2" showFirstColumn="0" showLastColumn="0" showRowStripes="1" showColumnStripes="0"/>
</x:table>
</file>

<file path=xl/tables/table3.xml><?xml version="1.0" encoding="utf-8"?>
<x:table xmlns:x="http://schemas.openxmlformats.org/spreadsheetml/2006/main" id="3" name="ScenarioCoverageTable" displayName="ScenarioCoverageTable" ref="A3:G20" headerRowCount="1" totalsRowCount="0" totalsRowShown="0">
  <x:tableColumns count="7">
    <x:tableColumn id="1" name="Scenario ID"/>
    <x:tableColumn id="2" name="Required Scenario"/>
    <x:tableColumn id="3" name="Linked Requirements"/>
    <x:tableColumn id="4" name="Acceptance Assertion"/>
    <x:tableColumn id="5" name="Future Test Artifact"/>
    <x:tableColumn id="6" name="Gate"/>
    <x:tableColumn id="7" name="Status"/>
  </x:tableColumns>
  <x:tableStyleInfo name="TableStyleMedium2" showFirstColumn="0" showLastColumn="0" showRowStripes="1" showColumnStripes="0"/>
</x:table>
</file>

<file path=xl/tables/table4.xml><?xml version="1.0" encoding="utf-8"?>
<x:table xmlns:x="http://schemas.openxmlformats.org/spreadsheetml/2006/main" id="4" name="C1ContractMatrix" displayName="C1ContractMatrix" ref="A4:Q30" headerRowCount="1" totalsRowCount="0" totalsRowShown="0">
  <x:autoFilter ref="A4:Q30"/>
  <x:tableColumns count="17">
    <x:tableColumn id="1" name="Contract ID"/>
    <x:tableColumn id="2" name="Family"/>
    <x:tableColumn id="3" name="Payload / Operation"/>
    <x:tableColumn id="4" name="Direction"/>
    <x:tableColumn id="5" name="Authority Owner"/>
    <x:tableColumn id="6" name="Canonical Effect"/>
    <x:tableColumn id="7" name="Source Artifact"/>
    <x:tableColumn id="8" name="Knowledge Boundary"/>
    <x:tableColumn id="9" name="State / Version Rule"/>
    <x:tableColumn id="10" name="Success State"/>
    <x:tableColumn id="11" name="Required Exception Branches"/>
    <x:tableColumn id="12" name="Accessibility Semantics"/>
    <x:tableColumn id="13" name="Requirements"/>
    <x:tableColumn id="14" name="Scenarios"/>
    <x:tableColumn id="15" name="Components"/>
    <x:tableColumn id="16" name="Fixtures / Tests"/>
    <x:tableColumn id="17" name="Status"/>
  </x:tableColumns>
  <x:tableStyleInfo name="TableStyleMedium2" showFirstColumn="0" showLastColumn="0" showRowStripes="1" showColumnStripes="0"/>
</x:table>
</file>

<file path=xl/tables/table5.xml><?xml version="1.0" encoding="utf-8"?>
<x:table xmlns:x="http://schemas.openxmlformats.org/spreadsheetml/2006/main" id="5" name="C1FixtureCoverage" displayName="C1FixtureCoverage" ref="A4:H28" headerRowCount="1" totalsRowCount="0" totalsRowShown="0">
  <x:autoFilter ref="A4:H28"/>
  <x:tableColumns count="8">
    <x:tableColumn id="1" name="Fixture"/>
    <x:tableColumn id="2" name="Expected"/>
    <x:tableColumn id="3" name="Schema / Definition"/>
    <x:tableColumn id="4" name="Coverage"/>
    <x:tableColumn id="5" name="Result"/>
    <x:tableColumn id="6" name="Outcome / Safety Branch"/>
    <x:tableColumn id="7" name="Canonical / Knowledge Assertion"/>
    <x:tableColumn id="8" name="Validation Evidence"/>
  </x:tableColumns>
  <x:tableStyleInfo name="TableStyleMedium2" showFirstColumn="0" showLastColumn="0" showRowStripes="1" showColumnStripes="0"/>
</x:table>
</file>

<file path=xl/tables/table6.xml><?xml version="1.0" encoding="utf-8"?>
<x:table xmlns:x="http://schemas.openxmlformats.org/spreadsheetml/2006/main" id="6" name="C1OutcomeTaxonomy" displayName="C1OutcomeTaxonomy" ref="A4:H17" headerRowCount="1" totalsRowCount="0" totalsRowShown="0">
  <x:autoFilter ref="A4:H17"/>
  <x:tableColumns count="8">
    <x:tableColumn id="1" name="Outcome Family"/>
    <x:tableColumn id="2" name="Public Code"/>
    <x:tableColumn id="3" name="Meaning"/>
    <x:tableColumn id="4" name="Typical Receipt Status"/>
    <x:tableColumn id="5" name="Canonical Effect"/>
    <x:tableColumn id="6" name="Player-Safe Recovery"/>
    <x:tableColumn id="7" name="Required Fixture"/>
    <x:tableColumn id="8" name="Status"/>
  </x:tableColumns>
  <x:tableStyleInfo name="TableStyleMedium2" showFirstColumn="0" showLastColumn="0" showRowStripes="1" showColumnStripes="0"/>
</x:table>
</file>

<file path=xl/tables/table7.xml><?xml version="1.0" encoding="utf-8"?>
<x:table xmlns:x="http://schemas.openxmlformats.org/spreadsheetml/2006/main" id="7" name="C2ContractMatrix" displayName="C2ContractMatrix" ref="A4:Q33" headerRowCount="1" totalsRowCount="0" totalsRowShown="0">
  <x:autoFilter ref="A4:Q33"/>
  <x:tableColumns count="17">
    <x:tableColumn id="1" name="Contract ID"/>
    <x:tableColumn id="2" name="System"/>
    <x:tableColumn id="3" name="Payload / Operation"/>
    <x:tableColumn id="4" name="Direction"/>
    <x:tableColumn id="5" name="Authority Owner"/>
    <x:tableColumn id="6" name="Canonical Effect"/>
    <x:tableColumn id="7" name="Source Artifact"/>
    <x:tableColumn id="8" name="Knowledge Boundary"/>
    <x:tableColumn id="9" name="State / Version Rule"/>
    <x:tableColumn id="10" name="Success State"/>
    <x:tableColumn id="11" name="Required Exception Branches"/>
    <x:tableColumn id="12" name="Accessibility Semantics"/>
    <x:tableColumn id="13" name="Requirements"/>
    <x:tableColumn id="14" name="Scenarios"/>
    <x:tableColumn id="15" name="Components"/>
    <x:tableColumn id="16" name="Fixtures / Tests"/>
    <x:tableColumn id="17" name="Status"/>
  </x:tableColumns>
  <x:tableStyleInfo name="TableStyleMedium2" showFirstColumn="0" showLastColumn="0" showRowStripes="1" showColumnStripes="0"/>
</x:table>
</file>

<file path=xl/tables/table8.xml><?xml version="1.0" encoding="utf-8"?>
<x:table xmlns:x="http://schemas.openxmlformats.org/spreadsheetml/2006/main" id="8" name="C2FixtureCoverage" displayName="C2FixtureCoverage" ref="A4:H47" headerRowCount="1" totalsRowCount="0" totalsRowShown="0">
  <x:autoFilter ref="A4:H47"/>
  <x:tableColumns count="8">
    <x:tableColumn id="1" name="Fixture"/>
    <x:tableColumn id="2" name="Expected"/>
    <x:tableColumn id="3" name="Schema / Definition"/>
    <x:tableColumn id="4" name="Coverage"/>
    <x:tableColumn id="5" name="Result"/>
    <x:tableColumn id="6" name="System / Safety Branch"/>
    <x:tableColumn id="7" name="Contract Assertion"/>
    <x:tableColumn id="8" name="Validation Evidence"/>
  </x:tableColumns>
  <x:tableStyleInfo name="TableStyleMedium2" showFirstColumn="0" showLastColumn="0" showRowStripes="1" showColumnStripes="0"/>
</x:table>
</file>

<file path=xl/tables/table9.xml><?xml version="1.0" encoding="utf-8"?>
<x:table xmlns:x="http://schemas.openxmlformats.org/spreadsheetml/2006/main" id="9" name="C2SystemBoundaries" displayName="C2SystemBoundaries" ref="A4:H13" headerRowCount="1" totalsRowCount="0" totalsRowShown="0">
  <x:autoFilter ref="A4:H13"/>
  <x:tableColumns count="8">
    <x:tableColumn id="1" name="System"/>
    <x:tableColumn id="2" name="Player-Visible Contract"/>
    <x:tableColumn id="3" name="Omitted / Protected"/>
    <x:tableColumn id="4" name="Draft Boundary"/>
    <x:tableColumn id="5" name="Commit Authority"/>
    <x:tableColumn id="6" name="Persistence Route"/>
    <x:tableColumn id="7" name="Deliberate Invalid Gate"/>
    <x:tableColumn id="8" name="UX Result"/>
  </x:tableColumns>
  <x:tableStyleInfo name="TableStyleMedium2" showFirstColumn="0" showLastColumn="0" showRowStripes="1" showColumnStripes="0"/>
</x:table>
</file>

<file path=xl/tables/table10.xml><?xml version="1.0" encoding="utf-8"?>
<x:table xmlns:x="http://schemas.openxmlformats.org/spreadsheetml/2006/main" id="10" name="C4ScenarioClosure" displayName="C4ScenarioClosure" ref="A4:I21" headerRowCount="1" totalsRowCount="0" totalsRowShown="0">
  <x:autoFilter ref="A4:I21"/>
  <x:tableColumns count="9">
    <x:tableColumn id="1" name="Scenario"/>
    <x:tableColumn id="2" name="Required Experience"/>
    <x:tableColumn id="3" name="Approved Contract IDs"/>
    <x:tableColumn id="4" name="Fixtures / Contract Evidence"/>
    <x:tableColumn id="5" name="Engine Prerequisites"/>
    <x:tableColumn id="6" name="Frontend Slice"/>
    <x:tableColumn id="7" name="Release Validation"/>
    <x:tableColumn id="8" name="Trace Status"/>
    <x:tableColumn id="9" name="Implementation Status"/>
  </x:tableColumns>
  <x:tableStyleInfo name="TableStyleMedium2" showFirstColumn="0" showLastColumn="0" showRowStripes="1" showColumnStripes="0"/>
</x:table>
</file>

<file path=xl/tables/table11.xml><?xml version="1.0" encoding="utf-8"?>
<x:table xmlns:x="http://schemas.openxmlformats.org/spreadsheetml/2006/main" id="11" name="C4ComponentClosure" displayName="C4ComponentClosure" ref="A4:J44" headerRowCount="1" totalsRowCount="0" totalsRowShown="0">
  <x:autoFilter ref="A4:J44"/>
  <x:tableColumns count="10">
    <x:tableColumn id="1" name="Component"/>
    <x:tableColumn id="2" name="Name"/>
    <x:tableColumn id="3" name="Approved Contract IDs"/>
    <x:tableColumn id="4" name="Primary Payload / Boundary"/>
    <x:tableColumn id="5" name="Authority Owner"/>
    <x:tableColumn id="6" name="Frontend Owner"/>
    <x:tableColumn id="7" name="Fixtures / Tests"/>
    <x:tableColumn id="8" name="Accessibility Semantics"/>
    <x:tableColumn id="9" name="Implementation Slice"/>
    <x:tableColumn id="10" name="Trace Status"/>
  </x:tableColumns>
  <x:tableStyleInfo name="TableStyleMedium2" showFirstColumn="0" showLastColumn="0" showRowStripes="1" showColumnStripes="0"/>
</x:table>
</file>

<file path=xl/tables/table12.xml><?xml version="1.0" encoding="utf-8"?>
<x:table xmlns:x="http://schemas.openxmlformats.org/spreadsheetml/2006/main" id="12" name="C4ImplementationBacklog" displayName="C4ImplementationBacklog" ref="A4:T28" headerRowCount="1" totalsRowCount="0" totalsRowShown="0">
  <x:autoFilter ref="A4:T28"/>
  <x:tableColumns count="20">
    <x:tableColumn id="1" name="Seq"/>
    <x:tableColumn id="2" name="Item"/>
    <x:tableColumn id="3" name="Phase"/>
    <x:tableColumn id="4" name="Capability"/>
    <x:tableColumn id="5" name="Player Outcome"/>
    <x:tableColumn id="6" name="Contract IDs"/>
    <x:tableColumn id="7" name="Authority Owner"/>
    <x:tableColumn id="8" name="Implementation Owner"/>
    <x:tableColumn id="9" name="Dependencies"/>
    <x:tableColumn id="10" name="State / Version Assumptions"/>
    <x:tableColumn id="11" name="Knowledge / Permission Boundary"/>
    <x:tableColumn id="12" name="Success Branch"/>
    <x:tableColumn id="13" name="Exception Branches"/>
    <x:tableColumn id="14" name="UI States"/>
    <x:tableColumn id="15" name="Accessibility"/>
    <x:tableColumn id="16" name="Analytics"/>
    <x:tableColumn id="17" name="Fixtures / Tests"/>
    <x:tableColumn id="18" name="Requirement · Scenario · Component Trace"/>
    <x:tableColumn id="19" name="Definition of Done"/>
    <x:tableColumn id="20" name="Authorization"/>
  </x:tableColumns>
  <x:tableStyleInfo name="TableStyleMedium2" showFirstColumn="0" showLastColumn="0" showRowStripes="1" showColumnStripes="0"/>
</x:table>
</file>

<file path=xl/tables/table13.xml><?xml version="1.0" encoding="utf-8"?>
<x:table xmlns:x="http://schemas.openxmlformats.org/spreadsheetml/2006/main" id="13" name="C4DependencyMap" displayName="C4DependencyMap" ref="A4:G28" headerRowCount="1" totalsRowCount="0" totalsRowShown="0">
  <x:autoFilter ref="A4:G28"/>
  <x:tableColumns count="7">
    <x:tableColumn id="1" name="Node"/>
    <x:tableColumn id="2" name="Type"/>
    <x:tableColumn id="3" name="Capability"/>
    <x:tableColumn id="4" name="Depends On"/>
    <x:tableColumn id="5" name="Authority Boundary"/>
    <x:tableColumn id="6" name="Implementation Owner"/>
    <x:tableColumn id="7" name="Unlock Condition"/>
  </x:tableColumns>
  <x:tableStyleInfo name="TableStyleMedium2" showFirstColumn="0" showLastColumn="0" showRowStripes="1" showColumnStripes="0"/>
</x:table>
</file>

<file path=xl/tables/table14.xml><?xml version="1.0" encoding="utf-8"?>
<x:table xmlns:x="http://schemas.openxmlformats.org/spreadsheetml/2006/main" id="14" name="C4CIReleaseGates" displayName="C4CIReleaseGates" ref="A4:G19" headerRowCount="1" totalsRowCount="0" totalsRowShown="0">
  <x:autoFilter ref="A4:G19"/>
  <x:tableColumns count="7">
    <x:tableColumn id="1" name="Gate"/>
    <x:tableColumn id="2" name="Name"/>
    <x:tableColumn id="3" name="Required Evidence"/>
    <x:tableColumn id="4" name="Owner"/>
    <x:tableColumn id="5" name="Stage"/>
    <x:tableColumn id="6" name="Blocks When"/>
    <x:tableColumn id="7" name="Status"/>
  </x:tableColumns>
  <x:tableStyleInfo name="TableStyleMedium2" showFirstColumn="0" showLastColumn="0" showRowStripes="1" showColumnStripes="0"/>
</x:table>
</file>

<file path=xl/tables/table15.xml><?xml version="1.0" encoding="utf-8"?>
<x:table xmlns:x="http://schemas.openxmlformats.org/spreadsheetml/2006/main" id="15" name="UI01ComponentInventory" displayName="UI01ComponentInventory" ref="A4:I44" headerRowCount="1" totalsRowCount="0" totalsRowShown="0">
  <x:autoFilter ref="A4:I44"/>
  <x:tableColumns count="9">
    <x:tableColumn id="1" name="Component ID"/>
    <x:tableColumn id="2" name="Component"/>
    <x:tableColumn id="3" name="Family"/>
    <x:tableColumn id="4" name="Purpose"/>
    <x:tableColumn id="5" name="Props"/>
    <x:tableColumn id="6" name="States"/>
    <x:tableColumn id="7" name="Responsive Rule"/>
    <x:tableColumn id="8" name="Accessibility Semantics"/>
    <x:tableColumn id="9" name="Status"/>
  </x:tableColumns>
  <x:tableStyleInfo name="TableStyleMedium2" showFirstColumn="0" showLastColumn="0" showRowStripes="1" showColumnStripes="0"/>
</x:table>
</file>

<file path=xl/tables/table16.xml><?xml version="1.0" encoding="utf-8"?>
<x:table xmlns:x="http://schemas.openxmlformats.org/spreadsheetml/2006/main" id="16" name="UI02ScreenInventory" displayName="UI02ScreenInventory" ref="A4:J18" headerRowCount="1" totalsRowCount="0" totalsRowShown="0">
  <x:autoFilter ref="A4:J18"/>
  <x:tableColumns count="10">
    <x:tableColumn id="1" name="Screen ID"/>
    <x:tableColumn id="2" name="Screen family"/>
    <x:tableColumn id="3" name="Destination"/>
    <x:tableColumn id="4" name="Primary player question"/>
    <x:tableColumn id="5" name="Subviews"/>
    <x:tableColumn id="6" name="State variants"/>
    <x:tableColumn id="7" name="UI-01 components"/>
    <x:tableColumn id="8" name="Scenarios"/>
    <x:tableColumn id="9" name="Compact behavior"/>
    <x:tableColumn id="10" name="Status"/>
  </x:tableColumns>
  <x:tableStyleInfo name="TableStyleMedium2" showFirstColumn="0" showLastColumn="0" showRowStripes="1" showColumnStripes="0"/>
</x:table>
</file>

<file path=xl/tables/table17.xml><?xml version="1.0" encoding="utf-8"?>
<x:table xmlns:x="http://schemas.openxmlformats.org/spreadsheetml/2006/main" id="17" name="UI02StateCoverage" displayName="UI02StateCoverage" ref="A4:H23" headerRowCount="1" totalsRowCount="0" totalsRowShown="0">
  <x:autoFilter ref="A4:H23"/>
  <x:tableColumns count="8">
    <x:tableColumn id="1" name="Variant"/>
    <x:tableColumn id="2" name="Category"/>
    <x:tableColumn id="3" name="Visible cue"/>
    <x:tableColumn id="4" name="System promise"/>
    <x:tableColumn id="5" name="Required screen families"/>
    <x:tableColumn id="6" name="Player path"/>
    <x:tableColumn id="7" name="Canonical / access boundary"/>
    <x:tableColumn id="8" name="Status"/>
  </x:tableColumns>
  <x:tableStyleInfo name="TableStyleMedium2" showFirstColumn="0" showLastColumn="0" showRowStripes="1" showColumnStripes="0"/>
</x:table>
</file>

<file path=xl/tables/table18.xml><?xml version="1.0" encoding="utf-8"?>
<x:table xmlns:x="http://schemas.openxmlformats.org/spreadsheetml/2006/main" id="18" name="UI02ScenarioCoverage" displayName="UI02ScenarioCoverage" ref="A4:G21" headerRowCount="1" totalsRowCount="0" totalsRowShown="0">
  <x:autoFilter ref="A4:G21"/>
  <x:tableColumns count="7">
    <x:tableColumn id="1" name="Scenario"/>
    <x:tableColumn id="2" name="Player outcome"/>
    <x:tableColumn id="3" name="Covered screens"/>
    <x:tableColumn id="4" name="Primary interaction proof"/>
    <x:tableColumn id="5" name="Exception / recovery proof"/>
    <x:tableColumn id="6" name="Accessibility proof"/>
    <x:tableColumn id="7" name="Status"/>
  </x:tableColumns>
  <x:tableStyleInfo name="TableStyleMedium2" showFirstColumn="0" showLastColumn="0" showRowStripes="1" showColumnStripes="0"/>
</x:table>
</file>

<file path=xl/tables/table19.xml><?xml version="1.0" encoding="utf-8"?>
<x:table xmlns:x="http://schemas.openxmlformats.org/spreadsheetml/2006/main" id="19" name="UI03AssetRegister" displayName="UI03AssetRegister" ref="A4:L64" headerRowCount="1" totalsRowCount="0" totalsRowShown="0">
  <x:autoFilter ref="A4:L64"/>
  <x:tableColumns count="12">
    <x:tableColumn id="1" name="Asset ID"/>
    <x:tableColumn id="2" name="Asset"/>
    <x:tableColumn id="3" name="Category"/>
    <x:tableColumn id="4" name="Status"/>
    <x:tableColumn id="5" name="Screens"/>
    <x:tableColumn id="6" name="Scenarios"/>
    <x:tableColumn id="7" name="Medium"/>
    <x:tableColumn id="8" name="Canonical scope"/>
    <x:tableColumn id="9" name="Meaning"/>
    <x:tableColumn id="10" name="Semantic fallback"/>
    <x:tableColumn id="11" name="Rights status"/>
    <x:tableColumn id="12" name="Review owner"/>
  </x:tableColumns>
  <x:tableStyleInfo name="TableStyleMedium2" showFirstColumn="0" showLastColumn="0" showRowStripes="1" showColumnStripes="0"/>
</x:table>
</file>

<file path=xl/tables/table20.xml><?xml version="1.0" encoding="utf-8"?>
<x:table xmlns:x="http://schemas.openxmlformats.org/spreadsheetml/2006/main" id="20" name="UI03ReferenceAssets" displayName="UI03ReferenceAssets" ref="A4:J9" headerRowCount="1" totalsRowCount="0" totalsRowShown="0">
  <x:autoFilter ref="A4:J9"/>
  <x:tableColumns count="10">
    <x:tableColumn id="1" name="Asset ID"/>
    <x:tableColumn id="2" name="Title"/>
    <x:tableColumn id="3" name="Status"/>
    <x:tableColumn id="4" name="File"/>
    <x:tableColumn id="5" name="Dimensions"/>
    <x:tableColumn id="6" name="Source"/>
    <x:tableColumn id="7" name="Canon boundary"/>
    <x:tableColumn id="8" name="Rights status"/>
    <x:tableColumn id="9" name="Alt text"/>
    <x:tableColumn id="10" name="SHA-256"/>
  </x:tableColumns>
  <x:tableStyleInfo name="TableStyleMedium2" showFirstColumn="0" showLastColumn="0" showRowStripes="1" showColumnStripes="0"/>
</x:table>
</file>

<file path=xl/tables/table21.xml><?xml version="1.0" encoding="utf-8"?>
<x:table xmlns:x="http://schemas.openxmlformats.org/spreadsheetml/2006/main" id="21" name="UI03IconCatalog" displayName="UI03IconCatalog" ref="A4:I53" headerRowCount="1" totalsRowCount="0" totalsRowShown="0">
  <x:autoFilter ref="A4:I53"/>
  <x:tableColumns count="9">
    <x:tableColumn id="1" name="Icon ID"/>
    <x:tableColumn id="2" name="Name"/>
    <x:tableColumn id="3" name="Category"/>
    <x:tableColumn id="4" name="Symbol ID"/>
    <x:tableColumn id="5" name="Canvas"/>
    <x:tableColumn id="6" name="Stroke"/>
    <x:tableColumn id="7" name="Join"/>
    <x:tableColumn id="8" name="Accessibility"/>
    <x:tableColumn id="9" name="Status"/>
  </x:tableColumns>
  <x:tableStyleInfo name="TableStyleMedium2" showFirstColumn="0" showLastColumn="0" showRowStripes="1" showColumnStripes="0"/>
</x:table>
</file>

<file path=xl/tables/table22.xml><?xml version="1.0" encoding="utf-8"?>
<x:table xmlns:x="http://schemas.openxmlformats.org/spreadsheetml/2006/main" id="22" name="UI03ScreenPlacement" displayName="UI03ScreenPlacement" ref="A4:G18" headerRowCount="1" totalsRowCount="0" totalsRowShown="0">
  <x:autoFilter ref="A4:G18"/>
  <x:tableColumns count="7">
    <x:tableColumn id="1" name="Screen"/>
    <x:tableColumn id="2" name="Screen family"/>
    <x:tableColumn id="3" name="Allowed asset slots"/>
    <x:tableColumn id="4" name="Placement / knowledge rule"/>
    <x:tableColumn id="5" name="Fallback asset"/>
    <x:tableColumn id="6" name="Art required?"/>
    <x:tableColumn id="7" name="Status"/>
  </x:tableColumns>
  <x:tableStyleInfo name="TableStyleMedium2" showFirstColumn="0" showLastColumn="0" showRowStripes="1" showColumnStripes="0"/>
</x:table>
</file>

<file path=xl/tables/table23.xml><?xml version="1.0" encoding="utf-8"?>
<x:table xmlns:x="http://schemas.openxmlformats.org/spreadsheetml/2006/main" id="23" name="UI03ProductionWaves" displayName="UI03ProductionWaves" ref="A4:F9" headerRowCount="1" totalsRowCount="0" totalsRowShown="0">
  <x:autoFilter ref="A4:F9"/>
  <x:tableColumns count="6">
    <x:tableColumn id="1" name="Wave"/>
    <x:tableColumn id="2" name="Name"/>
    <x:tableColumn id="3" name="Priority"/>
    <x:tableColumn id="4" name="Asset count"/>
    <x:tableColumn id="5" name="Assets"/>
    <x:tableColumn id="6" name="Exit condition"/>
  </x:tableColumns>
  <x:tableStyleInfo name="TableStyleMedium2" showFirstColumn="0" showLastColumn="0" showRowStripes="1" showColumnStripes="0"/>
</x:table>
</file>

<file path=xl/tables/table24.xml><?xml version="1.0" encoding="utf-8"?>
<x:table xmlns:x="http://schemas.openxmlformats.org/spreadsheetml/2006/main" id="24" name="UI04Decisions" displayName="UI04Decisions" ref="A4:E32" headerRowCount="1" totalsRowCount="0" totalsRowShown="0">
  <x:autoFilter ref="A4:E32"/>
  <x:tableColumns count="5">
    <x:tableColumn id="1" name="ADR"/>
    <x:tableColumn id="2" name="Decision"/>
    <x:tableColumn id="3" name="Normative rule"/>
    <x:tableColumn id="4" name="Trace"/>
    <x:tableColumn id="5" name="Status"/>
  </x:tableColumns>
  <x:tableStyleInfo name="TableStyleMedium2" showFirstColumn="0" showLastColumn="0" showRowStripes="1" showColumnStripes="0"/>
</x:table>
</file>

<file path=xl/tables/table25.xml><?xml version="1.0" encoding="utf-8"?>
<x:table xmlns:x="http://schemas.openxmlformats.org/spreadsheetml/2006/main" id="25" name="UI04Layers" displayName="UI04Layers" ref="A4:E12" headerRowCount="1" totalsRowCount="0" totalsRowShown="0">
  <x:autoFilter ref="A4:E12"/>
  <x:tableColumns count="5">
    <x:tableColumn id="1" name="Layer"/>
    <x:tableColumn id="2" name="Name"/>
    <x:tableColumn id="3" name="Owns"/>
    <x:tableColumn id="4" name="May import"/>
    <x:tableColumn id="5" name="Prohibited"/>
  </x:tableColumns>
  <x:tableStyleInfo name="TableStyleMedium2" showFirstColumn="0" showLastColumn="0" showRowStripes="1" showColumnStripes="0"/>
</x:table>
</file>

<file path=xl/tables/table26.xml><?xml version="1.0" encoding="utf-8"?>
<x:table xmlns:x="http://schemas.openxmlformats.org/spreadsheetml/2006/main" id="26" name="UI04Routes" displayName="UI04Routes" ref="A4:I18" headerRowCount="1" totalsRowCount="0" totalsRowShown="0">
  <x:autoFilter ref="A4:I18"/>
  <x:tableColumns count="9">
    <x:tableColumn id="1" name="Screen"/>
    <x:tableColumn id="2" name="Route"/>
    <x:tableColumn id="3" name="Loader payloads"/>
    <x:tableColumn id="4" name="Live inputs"/>
    <x:tableColumn id="5" name="Machines"/>
    <x:tableColumn id="6" name="Owned drafts"/>
    <x:tableColumn id="7" name="Focus entry"/>
    <x:tableColumn id="8" name="Error boundary"/>
    <x:tableColumn id="9" name="Status"/>
  </x:tableColumns>
  <x:tableStyleInfo name="TableStyleMedium2" showFirstColumn="0" showLastColumn="0" showRowStripes="1" showColumnStripes="0"/>
</x:table>
</file>

<file path=xl/tables/table27.xml><?xml version="1.0" encoding="utf-8"?>
<x:table xmlns:x="http://schemas.openxmlformats.org/spreadsheetml/2006/main" id="27" name="UI04Machines" displayName="UI04Machines" ref="A4:G14" headerRowCount="1" totalsRowCount="0" totalsRowShown="0">
  <x:autoFilter ref="A4:G14"/>
  <x:tableColumns count="7">
    <x:tableColumn id="1" name="Machine"/>
    <x:tableColumn id="2" name="Name"/>
    <x:tableColumn id="3" name="Initial"/>
    <x:tableColumn id="4" name="States"/>
    <x:tableColumn id="5" name="Events"/>
    <x:tableColumn id="6" name="Invariants"/>
    <x:tableColumn id="7" name="Status"/>
  </x:tableColumns>
  <x:tableStyleInfo name="TableStyleMedium2" showFirstColumn="0" showLastColumn="0" showRowStripes="1" showColumnStripes="0"/>
</x:table>
</file>

<file path=xl/tables/table28.xml><?xml version="1.0" encoding="utf-8"?>
<x:table xmlns:x="http://schemas.openxmlformats.org/spreadsheetml/2006/main" id="28" name="UI04Ports" displayName="UI04Ports" ref="A4:G20" headerRowCount="1" totalsRowCount="0" totalsRowShown="0">
  <x:autoFilter ref="A4:G20"/>
  <x:tableColumns count="7">
    <x:tableColumn id="1" name="Port"/>
    <x:tableColumn id="2" name="Responsibility"/>
    <x:tableColumn id="3" name="Inputs"/>
    <x:tableColumn id="4" name="Outputs"/>
    <x:tableColumn id="5" name="Failure behavior"/>
    <x:tableColumn id="6" name="Prerequisite"/>
    <x:tableColumn id="7" name="Operations"/>
  </x:tableColumns>
  <x:tableStyleInfo name="TableStyleMedium2" showFirstColumn="0" showLastColumn="0" showRowStripes="1" showColumnStripes="0"/>
</x:table>
</file>

<file path=xl/tables/table29.xml><?xml version="1.0" encoding="utf-8"?>
<x:table xmlns:x="http://schemas.openxmlformats.org/spreadsheetml/2006/main" id="29" name="UI04Operations" displayName="UI04Operations" ref="A4:D64" headerRowCount="1" totalsRowCount="0" totalsRowShown="0">
  <x:autoFilter ref="A4:D64"/>
  <x:tableColumns count="4">
    <x:tableColumn id="1" name="Operation"/>
    <x:tableColumn id="2" name="Port"/>
    <x:tableColumn id="3" name="Validation"/>
    <x:tableColumn id="4" name="Version basis"/>
  </x:tableColumns>
  <x:tableStyleInfo name="TableStyleMedium2" showFirstColumn="0" showLastColumn="0" showRowStripes="1" showColumnStripes="0"/>
</x:table>
</file>

<file path=xl/tables/table30.xml><?xml version="1.0" encoding="utf-8"?>
<x:table xmlns:x="http://schemas.openxmlformats.org/spreadsheetml/2006/main" id="30" name="UI04Components" displayName="UI04Components" ref="A4:I44" headerRowCount="1" totalsRowCount="0" totalsRowShown="0">
  <x:autoFilter ref="A4:I44"/>
  <x:tableColumns count="9">
    <x:tableColumn id="1" name="Component"/>
    <x:tableColumn id="2" name="Name"/>
    <x:tableColumn id="3" name="Family"/>
    <x:tableColumn id="4" name="Primary port"/>
    <x:tableColumn id="5" name="Payloads"/>
    <x:tableColumn id="6" name="Route owners"/>
    <x:tableColumn id="7" name="Frontend owner"/>
    <x:tableColumn id="8" name="Authority owner"/>
    <x:tableColumn id="9" name="Status"/>
  </x:tableColumns>
  <x:tableStyleInfo name="TableStyleMedium2" showFirstColumn="0" showLastColumn="0" showRowStripes="1" showColumnStripes="0"/>
</x:table>
</file>

<file path=xl/tables/table31.xml><?xml version="1.0" encoding="utf-8"?>
<x:table xmlns:x="http://schemas.openxmlformats.org/spreadsheetml/2006/main" id="31" name="UI04Scenarios" displayName="UI04Scenarios" ref="A4:H21" headerRowCount="1" totalsRowCount="0" totalsRowShown="0">
  <x:autoFilter ref="A4:H21"/>
  <x:tableColumns count="8">
    <x:tableColumn id="1" name="Scenario"/>
    <x:tableColumn id="2" name="Player outcome"/>
    <x:tableColumn id="3" name="Screens"/>
    <x:tableColumn id="4" name="Machines"/>
    <x:tableColumn id="5" name="Contracts"/>
    <x:tableColumn id="6" name="Fixtures/tests"/>
    <x:tableColumn id="7" name="Release validation"/>
    <x:tableColumn id="8" name="Status"/>
  </x:tableColumns>
  <x:tableStyleInfo name="TableStyleMedium2" showFirstColumn="0" showLastColumn="0" showRowStripes="1" showColumnStripes="0"/>
</x:table>
</file>

<file path=xl/tables/table32.xml><?xml version="1.0" encoding="utf-8"?>
<x:table xmlns:x="http://schemas.openxmlformats.org/spreadsheetml/2006/main" id="32" name="UI04TestGates" displayName="UI04TestGates" ref="A4:H19" headerRowCount="1" totalsRowCount="0" totalsRowShown="0">
  <x:autoFilter ref="A4:H19"/>
  <x:tableColumns count="8">
    <x:tableColumn id="1" name="Gate"/>
    <x:tableColumn id="2" name="Name"/>
    <x:tableColumn id="3" name="Required evidence"/>
    <x:tableColumn id="4" name="Owner"/>
    <x:tableColumn id="5" name="Stage"/>
    <x:tableColumn id="6" name="Blocks when"/>
    <x:tableColumn id="7" name="Architecture"/>
    <x:tableColumn id="8" name="Implementation"/>
  </x:tableColumns>
  <x:tableStyleInfo name="TableStyleMedium2" showFirstColumn="0" showLastColumn="0" showRowStripes="1" showColumnStripes="0"/>
</x:table>
</file>

<file path=xl/tables/table33.xml><?xml version="1.0" encoding="utf-8"?>
<x:table xmlns:x="http://schemas.openxmlformats.org/spreadsheetml/2006/main" id="33" name="UI04Execution" displayName="UI04Execution" ref="A4:H20" headerRowCount="1" totalsRowCount="0" totalsRowShown="0">
  <x:autoFilter ref="A4:H20"/>
  <x:tableColumns count="8">
    <x:tableColumn id="1" name="Sequence"/>
    <x:tableColumn id="2" name="Packet"/>
    <x:tableColumn id="3" name="Name"/>
    <x:tableColumn id="4" name="Dependencies"/>
    <x:tableColumn id="5" name="Entry criteria"/>
    <x:tableColumn id="6" name="Exit criteria"/>
    <x:tableColumn id="7" name="CI gates"/>
    <x:tableColumn id="8" name="Production status"/>
  </x:tableColumns>
  <x:tableStyleInfo name="TableStyleMedium2" showFirstColumn="0" showLastColumn="0" showRowStripes="1" showColumnStripes="0"/>
</x:table>
</file>

<file path=xl/tables/table34.xml><?xml version="1.0" encoding="utf-8"?>
<x:table xmlns:x="http://schemas.openxmlformats.org/spreadsheetml/2006/main" id="34" name="UI04DataOwnership" displayName="UI04DataOwnership" ref="A4:E12" headerRowCount="1" totalsRowCount="0" totalsRowShown="0">
  <x:autoFilter ref="A4:E12"/>
  <x:tableColumns count="5">
    <x:tableColumn id="1" name="Store"/>
    <x:tableColumn id="2" name="Name"/>
    <x:tableColumn id="3" name="Allowed contents"/>
    <x:tableColumn id="4" name="Persistence"/>
    <x:tableColumn id="5" name="Forbidde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4e218d17874a05" /></Relationships>
</file>

<file path=xl/worksheets/_rels/sheet4.xml.rels>&#65279;<?xml version="1.0" encoding="utf-8"?><Relationships xmlns="http://schemas.openxmlformats.org/package/2006/relationships"><Relationship Type="http://schemas.openxmlformats.org/officeDocument/2006/relationships/table" Target="/xl/tables/table2.xml" Id="R612160e1a22e4217" /></Relationships>
</file>

<file path=xl/worksheets/_rels/sheet6.xml.rels>&#65279;<?xml version="1.0" encoding="utf-8"?><Relationships xmlns="http://schemas.openxmlformats.org/package/2006/relationships"><Relationship Type="http://schemas.openxmlformats.org/officeDocument/2006/relationships/table" Target="/xl/tables/table3.xml" Id="Rd0283df701684c75" /></Relationships>
</file>

<file path=xl/worksheets/_rels/sheet10.xml.rels>&#65279;<?xml version="1.0" encoding="utf-8"?><Relationships xmlns="http://schemas.openxmlformats.org/package/2006/relationships"><Relationship Type="http://schemas.openxmlformats.org/officeDocument/2006/relationships/table" Target="/xl/tables/table4.xml" Id="R079b54f7f899490c" /></Relationships>
</file>

<file path=xl/worksheets/_rels/sheet11.xml.rels>&#65279;<?xml version="1.0" encoding="utf-8"?><Relationships xmlns="http://schemas.openxmlformats.org/package/2006/relationships"><Relationship Type="http://schemas.openxmlformats.org/officeDocument/2006/relationships/table" Target="/xl/tables/table5.xml" Id="R427625854fc74d26" /></Relationships>
</file>

<file path=xl/worksheets/_rels/sheet12.xml.rels>&#65279;<?xml version="1.0" encoding="utf-8"?><Relationships xmlns="http://schemas.openxmlformats.org/package/2006/relationships"><Relationship Type="http://schemas.openxmlformats.org/officeDocument/2006/relationships/table" Target="/xl/tables/table6.xml" Id="Rdc246215ef8240a0" /></Relationships>
</file>

<file path=xl/worksheets/_rels/sheet14.xml.rels>&#65279;<?xml version="1.0" encoding="utf-8"?><Relationships xmlns="http://schemas.openxmlformats.org/package/2006/relationships"><Relationship Type="http://schemas.openxmlformats.org/officeDocument/2006/relationships/table" Target="/xl/tables/table7.xml" Id="R13890a98134b4e8e" /></Relationships>
</file>

<file path=xl/worksheets/_rels/sheet15.xml.rels>&#65279;<?xml version="1.0" encoding="utf-8"?><Relationships xmlns="http://schemas.openxmlformats.org/package/2006/relationships"><Relationship Type="http://schemas.openxmlformats.org/officeDocument/2006/relationships/table" Target="/xl/tables/table8.xml" Id="R6744c387192e47c3" /></Relationships>
</file>

<file path=xl/worksheets/_rels/sheet16.xml.rels>&#65279;<?xml version="1.0" encoding="utf-8"?><Relationships xmlns="http://schemas.openxmlformats.org/package/2006/relationships"><Relationship Type="http://schemas.openxmlformats.org/officeDocument/2006/relationships/table" Target="/xl/tables/table9.xml" Id="R91dea2c84b3540bf" /></Relationships>
</file>

<file path=xl/worksheets/_rels/sheet22.xml.rels>&#65279;<?xml version="1.0" encoding="utf-8"?><Relationships xmlns="http://schemas.openxmlformats.org/package/2006/relationships"><Relationship Type="http://schemas.openxmlformats.org/officeDocument/2006/relationships/table" Target="/xl/tables/table10.xml" Id="R1c9ce2ea65fa46e5" /></Relationships>
</file>

<file path=xl/worksheets/_rels/sheet23.xml.rels>&#65279;<?xml version="1.0" encoding="utf-8"?><Relationships xmlns="http://schemas.openxmlformats.org/package/2006/relationships"><Relationship Type="http://schemas.openxmlformats.org/officeDocument/2006/relationships/table" Target="/xl/tables/table11.xml" Id="Ra68742ef5b2f492f" /></Relationships>
</file>

<file path=xl/worksheets/_rels/sheet24.xml.rels>&#65279;<?xml version="1.0" encoding="utf-8"?><Relationships xmlns="http://schemas.openxmlformats.org/package/2006/relationships"><Relationship Type="http://schemas.openxmlformats.org/officeDocument/2006/relationships/table" Target="/xl/tables/table12.xml" Id="R1ab61975f42a4abd" /></Relationships>
</file>

<file path=xl/worksheets/_rels/sheet25.xml.rels>&#65279;<?xml version="1.0" encoding="utf-8"?><Relationships xmlns="http://schemas.openxmlformats.org/package/2006/relationships"><Relationship Type="http://schemas.openxmlformats.org/officeDocument/2006/relationships/table" Target="/xl/tables/table13.xml" Id="Rfeae44f7d6f44032" /></Relationships>
</file>

<file path=xl/worksheets/_rels/sheet26.xml.rels>&#65279;<?xml version="1.0" encoding="utf-8"?><Relationships xmlns="http://schemas.openxmlformats.org/package/2006/relationships"><Relationship Type="http://schemas.openxmlformats.org/officeDocument/2006/relationships/table" Target="/xl/tables/table14.xml" Id="Ra8cbfcf9a3ee4cf7" /></Relationships>
</file>

<file path=xl/worksheets/_rels/sheet29.xml.rels>&#65279;<?xml version="1.0" encoding="utf-8"?><Relationships xmlns="http://schemas.openxmlformats.org/package/2006/relationships"><Relationship Type="http://schemas.openxmlformats.org/officeDocument/2006/relationships/table" Target="/xl/tables/table15.xml" Id="R283304ec64f34e82" /></Relationships>
</file>

<file path=xl/worksheets/_rels/sheet32.xml.rels>&#65279;<?xml version="1.0" encoding="utf-8"?><Relationships xmlns="http://schemas.openxmlformats.org/package/2006/relationships"><Relationship Type="http://schemas.openxmlformats.org/officeDocument/2006/relationships/table" Target="/xl/tables/table16.xml" Id="Rf2a0ade712d24acf" /></Relationships>
</file>

<file path=xl/worksheets/_rels/sheet33.xml.rels>&#65279;<?xml version="1.0" encoding="utf-8"?><Relationships xmlns="http://schemas.openxmlformats.org/package/2006/relationships"><Relationship Type="http://schemas.openxmlformats.org/officeDocument/2006/relationships/table" Target="/xl/tables/table17.xml" Id="Re1fc013ca4594810" /></Relationships>
</file>

<file path=xl/worksheets/_rels/sheet34.xml.rels>&#65279;<?xml version="1.0" encoding="utf-8"?><Relationships xmlns="http://schemas.openxmlformats.org/package/2006/relationships"><Relationship Type="http://schemas.openxmlformats.org/officeDocument/2006/relationships/table" Target="/xl/tables/table18.xml" Id="R37d74d7773a1471c" /></Relationships>
</file>

<file path=xl/worksheets/_rels/sheet36.xml.rels>&#65279;<?xml version="1.0" encoding="utf-8"?><Relationships xmlns="http://schemas.openxmlformats.org/package/2006/relationships"><Relationship Type="http://schemas.openxmlformats.org/officeDocument/2006/relationships/table" Target="/xl/tables/table19.xml" Id="R5e2ab273a6f64953" /></Relationships>
</file>

<file path=xl/worksheets/_rels/sheet37.xml.rels>&#65279;<?xml version="1.0" encoding="utf-8"?><Relationships xmlns="http://schemas.openxmlformats.org/package/2006/relationships"><Relationship Type="http://schemas.openxmlformats.org/officeDocument/2006/relationships/table" Target="/xl/tables/table20.xml" Id="R1fae76bf0b95407b" /></Relationships>
</file>

<file path=xl/worksheets/_rels/sheet38.xml.rels>&#65279;<?xml version="1.0" encoding="utf-8"?><Relationships xmlns="http://schemas.openxmlformats.org/package/2006/relationships"><Relationship Type="http://schemas.openxmlformats.org/officeDocument/2006/relationships/table" Target="/xl/tables/table21.xml" Id="R9133e5f53bef4ea4" /></Relationships>
</file>

<file path=xl/worksheets/_rels/sheet39.xml.rels>&#65279;<?xml version="1.0" encoding="utf-8"?><Relationships xmlns="http://schemas.openxmlformats.org/package/2006/relationships"><Relationship Type="http://schemas.openxmlformats.org/officeDocument/2006/relationships/table" Target="/xl/tables/table22.xml" Id="Ra57205c2cac84fea" /></Relationships>
</file>

<file path=xl/worksheets/_rels/sheet40.xml.rels>&#65279;<?xml version="1.0" encoding="utf-8"?><Relationships xmlns="http://schemas.openxmlformats.org/package/2006/relationships"><Relationship Type="http://schemas.openxmlformats.org/officeDocument/2006/relationships/table" Target="/xl/tables/table23.xml" Id="Rfd7df6df33d0477b" /></Relationships>
</file>

<file path=xl/worksheets/_rels/sheet42.xml.rels>&#65279;<?xml version="1.0" encoding="utf-8"?><Relationships xmlns="http://schemas.openxmlformats.org/package/2006/relationships"><Relationship Type="http://schemas.openxmlformats.org/officeDocument/2006/relationships/table" Target="/xl/tables/table24.xml" Id="Ra635835469ef40f8" /></Relationships>
</file>

<file path=xl/worksheets/_rels/sheet43.xml.rels>&#65279;<?xml version="1.0" encoding="utf-8"?><Relationships xmlns="http://schemas.openxmlformats.org/package/2006/relationships"><Relationship Type="http://schemas.openxmlformats.org/officeDocument/2006/relationships/table" Target="/xl/tables/table25.xml" Id="R98ab2186976f4d10" /></Relationships>
</file>

<file path=xl/worksheets/_rels/sheet44.xml.rels>&#65279;<?xml version="1.0" encoding="utf-8"?><Relationships xmlns="http://schemas.openxmlformats.org/package/2006/relationships"><Relationship Type="http://schemas.openxmlformats.org/officeDocument/2006/relationships/table" Target="/xl/tables/table26.xml" Id="R4713ef48760c4be4" /></Relationships>
</file>

<file path=xl/worksheets/_rels/sheet45.xml.rels>&#65279;<?xml version="1.0" encoding="utf-8"?><Relationships xmlns="http://schemas.openxmlformats.org/package/2006/relationships"><Relationship Type="http://schemas.openxmlformats.org/officeDocument/2006/relationships/table" Target="/xl/tables/table27.xml" Id="R21d83c29e70448df" /></Relationships>
</file>

<file path=xl/worksheets/_rels/sheet46.xml.rels>&#65279;<?xml version="1.0" encoding="utf-8"?><Relationships xmlns="http://schemas.openxmlformats.org/package/2006/relationships"><Relationship Type="http://schemas.openxmlformats.org/officeDocument/2006/relationships/table" Target="/xl/tables/table28.xml" Id="Rbd77908cd12e4ba6" /></Relationships>
</file>

<file path=xl/worksheets/_rels/sheet47.xml.rels>&#65279;<?xml version="1.0" encoding="utf-8"?><Relationships xmlns="http://schemas.openxmlformats.org/package/2006/relationships"><Relationship Type="http://schemas.openxmlformats.org/officeDocument/2006/relationships/table" Target="/xl/tables/table29.xml" Id="R5fd3cbc544a240af" /></Relationships>
</file>

<file path=xl/worksheets/_rels/sheet48.xml.rels>&#65279;<?xml version="1.0" encoding="utf-8"?><Relationships xmlns="http://schemas.openxmlformats.org/package/2006/relationships"><Relationship Type="http://schemas.openxmlformats.org/officeDocument/2006/relationships/table" Target="/xl/tables/table30.xml" Id="Rdbe276a1eed2461f" /></Relationships>
</file>

<file path=xl/worksheets/_rels/sheet49.xml.rels>&#65279;<?xml version="1.0" encoding="utf-8"?><Relationships xmlns="http://schemas.openxmlformats.org/package/2006/relationships"><Relationship Type="http://schemas.openxmlformats.org/officeDocument/2006/relationships/table" Target="/xl/tables/table31.xml" Id="R3ce1b3812bfd4c6d" /></Relationships>
</file>

<file path=xl/worksheets/_rels/sheet50.xml.rels>&#65279;<?xml version="1.0" encoding="utf-8"?><Relationships xmlns="http://schemas.openxmlformats.org/package/2006/relationships"><Relationship Type="http://schemas.openxmlformats.org/officeDocument/2006/relationships/table" Target="/xl/tables/table32.xml" Id="R90fce4522255400e" /></Relationships>
</file>

<file path=xl/worksheets/_rels/sheet51.xml.rels>&#65279;<?xml version="1.0" encoding="utf-8"?><Relationships xmlns="http://schemas.openxmlformats.org/package/2006/relationships"><Relationship Type="http://schemas.openxmlformats.org/officeDocument/2006/relationships/table" Target="/xl/tables/table33.xml" Id="Ra23ec965dae84075" /></Relationships>
</file>

<file path=xl/worksheets/_rels/sheet52.xml.rels>&#65279;<?xml version="1.0" encoding="utf-8"?><Relationships xmlns="http://schemas.openxmlformats.org/package/2006/relationships"><Relationship Type="http://schemas.openxmlformats.org/officeDocument/2006/relationships/table" Target="/xl/tables/table34.xml" Id="R374216e42cab4905"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5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36" customHeight="1">
      <x:c r="A1" s="87" t="str">
        <x:v>MYTHIC SUPERHERO RPG • UX/UI PHASE 0</x:v>
      </x:c>
      <x:c r="B1" s="87"/>
      <x:c r="C1" s="87"/>
      <x:c r="D1" s="87"/>
      <x:c r="E1" s="87"/>
      <x:c r="F1" s="87"/>
      <x:c r="G1" s="87"/>
      <x:c r="H1" s="87"/>
      <x:c r="I1" s="87"/>
      <x:c r="J1" s="87"/>
    </x:row>
    <x:row r="2" ht="28" customHeight="1">
      <x:c r="A2" s="88" t="str">
        <x:v>Constitution-to-Interface Traceability Matrix v0.1</x:v>
      </x:c>
      <x:c r="B2" s="88"/>
      <x:c r="C2" s="88"/>
      <x:c r="D2" s="88"/>
      <x:c r="E2" s="88"/>
      <x:c r="F2" s="88"/>
      <x:c r="G2" s="88"/>
      <x:c r="H2" s="88"/>
      <x:c r="I2" s="88"/>
      <x:c r="J2" s="88"/>
    </x:row>
    <x:row r="3">
      <x:c r="A3" s="89"/>
      <x:c r="B3" s="89"/>
      <x:c r="C3" s="89"/>
      <x:c r="D3" s="89"/>
      <x:c r="E3" s="89"/>
      <x:c r="F3" s="89"/>
      <x:c r="G3" s="89"/>
      <x:c r="H3" s="89"/>
      <x:c r="I3" s="89"/>
      <x:c r="J3" s="89"/>
    </x:row>
    <x:row r="4">
      <x:c r="A4" s="90" t="str">
        <x:v>Governing Source</x:v>
      </x:c>
      <x:c r="B4" s="91" t="str">
        <x:v>Mythic_Superhero_RPG_World_Constitution_v1.md — v1.27</x:v>
      </x:c>
      <x:c r="C4" s="89"/>
      <x:c r="D4" s="92" t="str">
        <x:v>PHASE 0 FINDING</x:v>
      </x:c>
      <x:c r="E4" s="92"/>
      <x:c r="F4" s="92"/>
      <x:c r="G4" s="92"/>
      <x:c r="H4" s="92"/>
      <x:c r="I4" s="92"/>
      <x:c r="J4" s="92"/>
    </x:row>
    <x:row r="5">
      <x:c r="A5" s="90" t="str">
        <x:v>Approved Foundation</x:v>
      </x:c>
      <x:c r="B5" s="91" t="str">
        <x:v>UX_UI_Foundation_v0.1A.md — approved 2026-08-22</x:v>
      </x:c>
      <x:c r="C5" s="89"/>
      <x:c r="D5" s="93" t="str">
        <x:v>The Constitution is unusually complete at the mechanical and canonical level. The material UX work is not inventing missing game rules; it is defining safe disclosure, interaction timing, responsive presentation, and conflict behavior so the interface cannot leak truth, counterfeit agency, or become an alternate source of canon.</x:v>
      </x:c>
      <x:c r="E5" s="93"/>
      <x:c r="F5" s="93"/>
      <x:c r="G5" s="93"/>
      <x:c r="H5" s="93"/>
      <x:c r="I5" s="93"/>
      <x:c r="J5" s="93"/>
    </x:row>
    <x:row r="6">
      <x:c r="A6" s="90" t="str">
        <x:v>Approved Device / Time / Shell</x:v>
      </x:c>
      <x:c r="B6" s="91" t="str">
        <x:v>Desktop browser first • Ledger Time • Adaptive Living World Stage</x:v>
      </x:c>
      <x:c r="C6" s="89"/>
      <x:c r="D6" s="93"/>
      <x:c r="E6" s="93"/>
      <x:c r="F6" s="93"/>
      <x:c r="G6" s="93"/>
      <x:c r="H6" s="93"/>
      <x:c r="I6" s="93"/>
      <x:c r="J6" s="93"/>
    </x:row>
    <x:row r="7">
      <x:c r="A7" s="89"/>
      <x:c r="B7" s="89"/>
      <x:c r="C7" s="89"/>
      <x:c r="D7" s="93"/>
      <x:c r="E7" s="93"/>
      <x:c r="F7" s="93"/>
      <x:c r="G7" s="93"/>
      <x:c r="H7" s="93"/>
      <x:c r="I7" s="93"/>
      <x:c r="J7" s="93"/>
    </x:row>
    <x:row r="8">
      <x:c r="A8" s="94" t="str">
        <x:v>COVERAGE SUMMARY</x:v>
      </x:c>
      <x:c r="B8" s="94"/>
      <x:c r="C8" s="89"/>
      <x:c r="D8" s="93"/>
      <x:c r="E8" s="93"/>
      <x:c r="F8" s="93"/>
      <x:c r="G8" s="93"/>
      <x:c r="H8" s="93"/>
      <x:c r="I8" s="93"/>
      <x:c r="J8" s="93"/>
    </x:row>
    <x:row r="9">
      <x:c r="A9" s="95" t="str">
        <x:v>Total traced requirements</x:v>
      </x:c>
      <x:c r="B9" s="96" t="n">
        <x:f>COUNTA('Traceability'!$A$6:$A$136)</x:f>
        <x:v>131</x:v>
      </x:c>
      <x:c r="C9" s="89"/>
      <x:c r="D9" s="89"/>
      <x:c r="E9" s="89"/>
      <x:c r="F9" s="89"/>
      <x:c r="G9" s="89"/>
      <x:c r="H9" s="89"/>
      <x:c r="I9" s="89"/>
      <x:c r="J9" s="89"/>
    </x:row>
    <x:row r="10">
      <x:c r="A10" s="95" t="str">
        <x:v>Critical-risk requirements</x:v>
      </x:c>
      <x:c r="B10" s="96" t="n">
        <x:f>COUNTIF('Traceability'!$S$6:$S$136,"Critical")</x:f>
        <x:v>94</x:v>
      </x:c>
      <x:c r="C10" s="89"/>
      <x:c r="D10" s="97" t="str">
        <x:v>HIGHEST-RISK OPEN UX GAPS</x:v>
      </x:c>
      <x:c r="E10" s="97"/>
      <x:c r="F10" s="97"/>
      <x:c r="G10" s="97"/>
      <x:c r="H10" s="97"/>
      <x:c r="I10" s="97"/>
      <x:c r="J10" s="97"/>
    </x:row>
    <x:row r="11">
      <x:c r="A11" s="95" t="str">
        <x:v>P0 requirements</x:v>
      </x:c>
      <x:c r="B11" s="96" t="n">
        <x:f>COUNTIF('Traceability'!$T$6:$T$136,"P0")</x:f>
        <x:v>88</x:v>
      </x:c>
      <x:c r="C11" s="89"/>
      <x:c r="D11" s="98" t="str">
        <x:v>1. Actor-safe rejection details without secret leakage
2. Exact-versus-banded spatial presentation
3. Evidence-based Front visibility without omniscient clocks
4. Relationship and Relic legibility without obedience meters
5. Stale proposal rebasing and unknown-commit recovery
6. Compulsion/possession presentation that preserves remaining player choices</x:v>
      </x:c>
      <x:c r="E11" s="98"/>
      <x:c r="F11" s="98"/>
      <x:c r="G11" s="98"/>
      <x:c r="H11" s="98"/>
      <x:c r="I11" s="98"/>
      <x:c r="J11" s="98"/>
    </x:row>
    <x:row r="12">
      <x:c r="A12" s="95" t="str">
        <x:v>Rows with open gaps</x:v>
      </x:c>
      <x:c r="B12" s="96" t="n">
        <x:f>COUNTIF('Traceability'!$U$6:$U$136,"Gap")</x:f>
        <x:v>22</x:v>
      </x:c>
      <x:c r="C12" s="89"/>
      <x:c r="D12" s="98"/>
      <x:c r="E12" s="98"/>
      <x:c r="F12" s="98"/>
      <x:c r="G12" s="98"/>
      <x:c r="H12" s="98"/>
      <x:c r="I12" s="98"/>
      <x:c r="J12" s="98"/>
    </x:row>
    <x:row r="13">
      <x:c r="A13" s="95" t="str">
        <x:v>State coverage complete</x:v>
      </x:c>
      <x:c r="B13" s="96" t="n">
        <x:f>COUNTIF('Traceability'!$X$6:$X$136,1)</x:f>
        <x:v>131</x:v>
      </x:c>
      <x:c r="C13" s="89"/>
      <x:c r="D13" s="98"/>
      <x:c r="E13" s="98"/>
      <x:c r="F13" s="98"/>
      <x:c r="G13" s="98"/>
      <x:c r="H13" s="98"/>
      <x:c r="I13" s="98"/>
      <x:c r="J13" s="98"/>
    </x:row>
    <x:row r="14">
      <x:c r="A14" s="95" t="str">
        <x:v>UX field coverage complete</x:v>
      </x:c>
      <x:c r="B14" s="96" t="n">
        <x:f>COUNTIF('Traceability'!$Y$6:$Y$136,1)</x:f>
        <x:v>131</x:v>
      </x:c>
      <x:c r="C14" s="89"/>
      <x:c r="D14" s="98"/>
      <x:c r="E14" s="98"/>
      <x:c r="F14" s="98"/>
      <x:c r="G14" s="98"/>
      <x:c r="H14" s="98"/>
      <x:c r="I14" s="98"/>
      <x:c r="J14" s="98"/>
    </x:row>
    <x:row r="15">
      <x:c r="A15" s="95" t="str">
        <x:v>Required scenarios</x:v>
      </x:c>
      <x:c r="B15" s="96" t="n">
        <x:f>COUNTA('Scenario Coverage'!$A$4:$A$20)</x:f>
        <x:v>17</x:v>
      </x:c>
      <x:c r="C15" s="89"/>
      <x:c r="D15" s="98"/>
      <x:c r="E15" s="98"/>
      <x:c r="F15" s="98"/>
      <x:c r="G15" s="98"/>
      <x:c r="H15" s="98"/>
      <x:c r="I15" s="98"/>
      <x:c r="J15" s="98"/>
    </x:row>
    <x:row r="16">
      <x:c r="A16" s="89"/>
      <x:c r="B16" s="89"/>
      <x:c r="C16" s="89"/>
      <x:c r="D16" s="98"/>
      <x:c r="E16" s="98"/>
      <x:c r="F16" s="98"/>
      <x:c r="G16" s="98"/>
      <x:c r="H16" s="98"/>
      <x:c r="I16" s="98"/>
      <x:c r="J16" s="98"/>
    </x:row>
    <x:row r="17">
      <x:c r="A17" s="89"/>
      <x:c r="B17" s="89"/>
      <x:c r="C17" s="89"/>
      <x:c r="D17" s="89"/>
      <x:c r="E17" s="89"/>
      <x:c r="F17" s="89"/>
      <x:c r="G17" s="89"/>
      <x:c r="H17" s="89"/>
      <x:c r="I17" s="89"/>
      <x:c r="J17" s="89"/>
    </x:row>
    <x:row r="18">
      <x:c r="A18" s="94" t="str">
        <x:v>HOW TO USE THIS WORKBOOK</x:v>
      </x:c>
      <x:c r="B18" s="94"/>
      <x:c r="C18" s="94"/>
      <x:c r="D18" s="94"/>
      <x:c r="E18" s="94"/>
      <x:c r="F18" s="94"/>
      <x:c r="G18" s="94"/>
      <x:c r="H18" s="94"/>
      <x:c r="I18" s="94"/>
      <x:c r="J18" s="94"/>
    </x:row>
    <x:row r="19">
      <x:c r="A19" s="99" t="str">
        <x:v>1. Use Traceability as the source-of-truth UX requirement table.
2. Filter Critical/P0 rows first during information architecture and core-interaction work.
3. Resolve only linked Gap Register items through explicit approval; do not rewrite mechanics in the matrix.
4. Surface Coverage counts update from primary/secondary mappings.
5. Scenario Coverage becomes the later prototype and acceptance-test checklist.</x:v>
      </x:c>
      <x:c r="B19" s="99"/>
      <x:c r="C19" s="99"/>
      <x:c r="D19" s="99"/>
      <x:c r="E19" s="99"/>
      <x:c r="F19" s="99"/>
      <x:c r="G19" s="99"/>
      <x:c r="H19" s="99"/>
      <x:c r="I19" s="99"/>
      <x:c r="J19" s="99"/>
    </x:row>
    <x:row r="20">
      <x:c r="A20" s="99"/>
      <x:c r="B20" s="99"/>
      <x:c r="C20" s="99"/>
      <x:c r="D20" s="99"/>
      <x:c r="E20" s="99"/>
      <x:c r="F20" s="99"/>
      <x:c r="G20" s="99"/>
      <x:c r="H20" s="99"/>
      <x:c r="I20" s="99"/>
      <x:c r="J20" s="99"/>
    </x:row>
    <x:row r="21">
      <x:c r="A21" s="99"/>
      <x:c r="B21" s="99"/>
      <x:c r="C21" s="99"/>
      <x:c r="D21" s="99"/>
      <x:c r="E21" s="99"/>
      <x:c r="F21" s="99"/>
      <x:c r="G21" s="99"/>
      <x:c r="H21" s="99"/>
      <x:c r="I21" s="99"/>
      <x:c r="J21" s="99"/>
    </x:row>
    <x:row r="22">
      <x:c r="A22" s="99"/>
      <x:c r="B22" s="99"/>
      <x:c r="C22" s="99"/>
      <x:c r="D22" s="99"/>
      <x:c r="E22" s="99"/>
      <x:c r="F22" s="99"/>
      <x:c r="G22" s="99"/>
      <x:c r="H22" s="99"/>
      <x:c r="I22" s="99"/>
      <x:c r="J22" s="99"/>
    </x:row>
    <x:row r="23">
      <x:c r="A23" s="99"/>
      <x:c r="B23" s="99"/>
      <x:c r="C23" s="99"/>
      <x:c r="D23" s="99"/>
      <x:c r="E23" s="99"/>
      <x:c r="F23" s="99"/>
      <x:c r="G23" s="99"/>
      <x:c r="H23" s="99"/>
      <x:c r="I23" s="99"/>
      <x:c r="J23" s="99"/>
    </x:row>
    <x:row r="24">
      <x:c r="A24" s="89"/>
      <x:c r="B24" s="89"/>
      <x:c r="C24" s="89"/>
      <x:c r="D24" s="89"/>
      <x:c r="E24" s="89"/>
      <x:c r="F24" s="89"/>
      <x:c r="G24" s="89"/>
      <x:c r="H24" s="89"/>
      <x:c r="I24" s="89"/>
      <x:c r="J24" s="89"/>
    </x:row>
    <x:row r="25">
      <x:c r="A25" s="100" t="str">
        <x:v>Approval Gate</x:v>
      </x:c>
      <x:c r="B25" s="100"/>
      <x:c r="C25" s="100"/>
      <x:c r="D25" s="100"/>
      <x:c r="E25" s="100"/>
      <x:c r="F25" s="100"/>
      <x:c r="G25" s="100"/>
      <x:c r="H25" s="100"/>
      <x:c r="I25" s="100"/>
      <x:c r="J25" s="100"/>
    </x:row>
    <x:row r="26">
      <x:c r="A26" s="101" t="str">
        <x:v>Approve Phase 0 only after the matrix coverage, disclosure boundaries, surface mappings, and gap register are accepted. Approval authorizes Phase 1 information architecture—not wireframes, mockups, or front-end code.</x:v>
      </x:c>
      <x:c r="B26" s="101"/>
      <x:c r="C26" s="101"/>
      <x:c r="D26" s="101"/>
      <x:c r="E26" s="101"/>
      <x:c r="F26" s="101"/>
      <x:c r="G26" s="101"/>
      <x:c r="H26" s="101"/>
      <x:c r="I26" s="101"/>
      <x:c r="J26" s="101"/>
    </x:row>
    <x:row r="27">
      <x:c r="A27" s="101"/>
      <x:c r="B27" s="101"/>
      <x:c r="C27" s="101"/>
      <x:c r="D27" s="101"/>
      <x:c r="E27" s="101"/>
      <x:c r="F27" s="101"/>
      <x:c r="G27" s="101"/>
      <x:c r="H27" s="101"/>
      <x:c r="I27" s="101"/>
      <x:c r="J27" s="101"/>
    </x:row>
    <x:row r="28">
      <x:c r="A28" s="101"/>
      <x:c r="B28" s="101"/>
      <x:c r="C28" s="101"/>
      <x:c r="D28" s="101"/>
      <x:c r="E28" s="101"/>
      <x:c r="F28" s="101"/>
      <x:c r="G28" s="101"/>
      <x:c r="H28" s="101"/>
      <x:c r="I28" s="101"/>
      <x:c r="J28" s="101"/>
    </x:row>
  </x:sheetData>
  <x:mergeCells>
    <x:mergeCell ref="A1:J1"/>
    <x:mergeCell ref="A2:J2"/>
    <x:mergeCell ref="A8:B8"/>
    <x:mergeCell ref="D4:J4"/>
    <x:mergeCell ref="D5:J8"/>
    <x:mergeCell ref="D10:J10"/>
    <x:mergeCell ref="D11:J16"/>
    <x:mergeCell ref="A18:J18"/>
    <x:mergeCell ref="A19:J23"/>
    <x:mergeCell ref="A25:J25"/>
    <x:mergeCell ref="A26:J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5" hidden="0" customWidth="1"/>
    <x:col min="3" max="3" width="34" hidden="0" customWidth="1"/>
    <x:col min="4" max="4" width="32" hidden="0" customWidth="1"/>
    <x:col min="5" max="5" width="34" hidden="0" customWidth="1"/>
    <x:col min="6" max="6" width="40" hidden="0" customWidth="1"/>
    <x:col min="7" max="7" width="40" hidden="0" customWidth="1"/>
    <x:col min="8" max="8" width="40" hidden="0" customWidth="1"/>
    <x:col min="9" max="9" width="40" hidden="0" customWidth="1"/>
    <x:col min="10" max="10" width="38" hidden="0" customWidth="1"/>
    <x:col min="11" max="11" width="38" hidden="0" customWidth="1"/>
    <x:col min="12" max="12" width="38" hidden="0" customWidth="1"/>
    <x:col min="13" max="13" width="34" hidden="0" customWidth="1"/>
    <x:col min="14" max="14" width="36" hidden="0" customWidth="1"/>
    <x:col min="15" max="15" width="38" hidden="0" customWidth="1"/>
    <x:col min="16" max="16" width="34" hidden="0" customWidth="1"/>
    <x:col min="17" max="17" width="25" hidden="0" customWidth="1"/>
    <x:col min="18" max="18" width="25" hidden="0" customWidth="1"/>
    <x:col min="19" max="19" width="13" hidden="0" customWidth="1"/>
    <x:col min="20" max="20" width="13" hidden="0" customWidth="1"/>
    <x:col min="21" max="21" width="18" hidden="0" customWidth="1"/>
    <x:col min="22" max="22" width="13" hidden="0" customWidth="1"/>
    <x:col min="23" max="23" width="28" hidden="0" customWidth="1"/>
    <x:col min="24" max="24" width="15" hidden="0" customWidth="1"/>
    <x:col min="25" max="25" width="15" hidden="0" customWidth="1"/>
    <x:col min="26" max="26" width="14" hidden="0" customWidth="1"/>
  </x:cols>
  <x:sheetData>
    <x:row r="1" ht="32" customHeight="1">
      <x:c r="A1" s="102" t="str">
        <x:v>CONSTITUTION-TO-INTERFACE TRACEABILITY MATRIX</x:v>
      </x:c>
      <x:c r="B1" s="102"/>
      <x:c r="C1" s="102"/>
      <x:c r="D1" s="102"/>
      <x:c r="E1" s="102"/>
      <x:c r="F1" s="102"/>
      <x:c r="G1" s="102"/>
      <x:c r="H1" s="102"/>
      <x:c r="I1" s="102"/>
      <x:c r="J1" s="102"/>
      <x:c r="K1" s="102"/>
      <x:c r="L1" s="102"/>
      <x:c r="M1" s="102"/>
      <x:c r="N1" s="102"/>
      <x:c r="O1" s="102"/>
      <x:c r="P1" s="102"/>
      <x:c r="Q1" s="102"/>
      <x:c r="R1" s="102"/>
      <x:c r="S1" s="102"/>
      <x:c r="T1" s="102"/>
      <x:c r="U1" s="102"/>
      <x:c r="V1" s="102"/>
      <x:c r="W1" s="102"/>
      <x:c r="X1" s="102"/>
      <x:c r="Y1" s="102"/>
      <x:c r="Z1" s="102"/>
    </x:row>
    <x:row r="2" ht="24" customHeight="1">
      <x:c r="A2" s="103" t="str">
        <x:v>Phase 0 • UX/UI Foundation v0.1A approved • World Constitution v1.27 • Player-visible surfaces must remain viewpoint-safe and reducer-backed</x:v>
      </x:c>
      <x:c r="B2" s="103"/>
      <x:c r="C2" s="103"/>
      <x:c r="D2" s="103"/>
      <x:c r="E2" s="103"/>
      <x:c r="F2" s="103"/>
      <x:c r="G2" s="103"/>
      <x:c r="H2" s="103"/>
      <x:c r="I2" s="103"/>
      <x:c r="J2" s="103"/>
      <x:c r="K2" s="103"/>
      <x:c r="L2" s="103"/>
      <x:c r="M2" s="103"/>
      <x:c r="N2" s="103"/>
      <x:c r="O2" s="103"/>
      <x:c r="P2" s="103"/>
      <x:c r="Q2" s="103"/>
      <x:c r="R2" s="103"/>
      <x:c r="S2" s="103"/>
      <x:c r="T2" s="103"/>
      <x:c r="U2" s="103"/>
      <x:c r="V2" s="103"/>
      <x:c r="W2" s="103"/>
      <x:c r="X2" s="103"/>
      <x:c r="Y2" s="103"/>
      <x:c r="Z2" s="103"/>
    </x:row>
    <x:row r="3" ht="24" customHeight="1">
      <x:c r="A3" s="104" t="str">
        <x:v>Filter by Domain, Risk, Priority, Coverage Status, Gap ID, or Surface. State and UX coverage formulas flag incomplete rows automatically.</x:v>
      </x:c>
      <x:c r="B3" s="104"/>
      <x:c r="C3" s="104"/>
      <x:c r="D3" s="104"/>
      <x:c r="E3" s="104"/>
      <x:c r="F3" s="104"/>
      <x:c r="G3" s="104"/>
      <x:c r="H3" s="104"/>
      <x:c r="I3" s="104"/>
      <x:c r="J3" s="104"/>
      <x:c r="K3" s="104"/>
      <x:c r="L3" s="104"/>
      <x:c r="M3" s="104"/>
      <x:c r="N3" s="104"/>
      <x:c r="O3" s="104"/>
      <x:c r="P3" s="104"/>
      <x:c r="Q3" s="104"/>
      <x:c r="R3" s="104"/>
      <x:c r="S3" s="104"/>
      <x:c r="T3" s="104"/>
      <x:c r="U3" s="104"/>
      <x:c r="V3" s="104"/>
      <x:c r="W3" s="104"/>
      <x:c r="X3" s="104"/>
      <x:c r="Y3" s="104"/>
      <x:c r="Z3" s="104"/>
    </x:row>
    <x:row r="4">
      <x:c r="A4" s="89"/>
      <x:c r="B4" s="89"/>
      <x:c r="C4" s="89"/>
      <x:c r="D4" s="89"/>
      <x:c r="E4" s="89"/>
      <x:c r="F4" s="89"/>
      <x:c r="G4" s="89"/>
      <x:c r="H4" s="89"/>
      <x:c r="I4" s="89"/>
      <x:c r="J4" s="89"/>
      <x:c r="K4" s="89"/>
      <x:c r="L4" s="89"/>
      <x:c r="M4" s="89"/>
      <x:c r="N4" s="89"/>
      <x:c r="O4" s="89"/>
      <x:c r="P4" s="89"/>
      <x:c r="Q4" s="89"/>
      <x:c r="R4" s="89"/>
      <x:c r="S4" s="89"/>
      <x:c r="T4" s="89"/>
      <x:c r="U4" s="89"/>
      <x:c r="V4" s="89"/>
      <x:c r="W4" s="89"/>
      <x:c r="X4" s="89"/>
      <x:c r="Y4" s="89"/>
      <x:c r="Z4" s="89"/>
    </x:row>
    <x:row r="5" ht="42" customHeight="1">
      <x:c r="A5" s="105" t="str">
        <x:v>Requirement ID</x:v>
      </x:c>
      <x:c r="B5" s="106" t="str">
        <x:v>Domain</x:v>
      </x:c>
      <x:c r="C5" s="106" t="str">
        <x:v>Engine Entity / Event</x:v>
      </x:c>
      <x:c r="D5" s="106" t="str">
        <x:v>Constitution Source</x:v>
      </x:c>
      <x:c r="E5" s="106" t="str">
        <x:v>Trigger / State</x:v>
      </x:c>
      <x:c r="F5" s="106" t="str">
        <x:v>Player May See</x:v>
      </x:c>
      <x:c r="G5" s="106" t="str">
        <x:v>Active Character May Know</x:v>
      </x:c>
      <x:c r="H5" s="106" t="str">
        <x:v>Must Remain Hidden</x:v>
      </x:c>
      <x:c r="I5" s="106" t="str">
        <x:v>Allowed Player Actions</x:v>
      </x:c>
      <x:c r="J5" s="106" t="str">
        <x:v>Clarify / Confirm</x:v>
      </x:c>
      <x:c r="K5" s="106" t="str">
        <x:v>Success / Normal State</x:v>
      </x:c>
      <x:c r="L5" s="106" t="str">
        <x:v>Failure / Empty State</x:v>
      </x:c>
      <x:c r="M5" s="106" t="str">
        <x:v>Loading / Pending State</x:v>
      </x:c>
      <x:c r="N5" s="106" t="str">
        <x:v>Stale / Conflict State</x:v>
      </x:c>
      <x:c r="O5" s="106" t="str">
        <x:v>Provenance / Audit</x:v>
      </x:c>
      <x:c r="P5" s="106" t="str">
        <x:v>Accessibility Implications</x:v>
      </x:c>
      <x:c r="Q5" s="106" t="str">
        <x:v>Primary Surface</x:v>
      </x:c>
      <x:c r="R5" s="106" t="str">
        <x:v>Secondary Surface</x:v>
      </x:c>
      <x:c r="S5" s="106" t="str">
        <x:v>Risk</x:v>
      </x:c>
      <x:c r="T5" s="106" t="str">
        <x:v>UX Priority</x:v>
      </x:c>
      <x:c r="U5" s="106" t="str">
        <x:v>Coverage Status</x:v>
      </x:c>
      <x:c r="V5" s="106" t="str">
        <x:v>Gap ID</x:v>
      </x:c>
      <x:c r="W5" s="106" t="str">
        <x:v>Notes</x:v>
      </x:c>
      <x:c r="X5" s="106" t="str">
        <x:v>State Coverage %</x:v>
      </x:c>
      <x:c r="Y5" s="106" t="str">
        <x:v>UX Field Coverage %</x:v>
      </x:c>
      <x:c r="Z5" s="107" t="str">
        <x:v>Review Flag</x:v>
      </x:c>
    </x:row>
    <x:row r="6" ht="64" customHeight="1">
      <x:c r="A6" s="108" t="str">
        <x:v>FND-001</x:v>
      </x:c>
      <x:c r="B6" s="108" t="str">
        <x:v>Foundation &amp; Agency</x:v>
      </x:c>
      <x:c r="C6" s="108" t="str">
        <x:v>Free-form player intent</x:v>
      </x:c>
      <x:c r="D6" s="108" t="str">
        <x:v>Mythic_Superhero_RPG_World_Constitution_v1.md — §2 Player Freedom Contract; §7 Core Dice; §18 Stunts; §32 Onboarding</x:v>
      </x:c>
      <x:c r="E6" s="108" t="str">
        <x:v>Whenever the player may act, including combat, travel, social, captivity, afterlife, and refusal states.</x:v>
      </x:c>
      <x:c r="F6" s="108" t="str">
        <x:v>A persistent Declare Intent control plus optional examples that never imply an action boundary.</x:v>
      </x:c>
      <x:c r="G6" s="108" t="str">
        <x:v>Only observations, records, communications, and valid inferences in the active character's Knowledge Map.</x:v>
      </x:c>
      <x:c r="H6" s="108" t="str">
        <x:v>Engine-only truth; other actors' private knowledge, motives, and undisclosed records.</x:v>
      </x:c>
      <x:c r="I6" s="108" t="str">
        <x:v>Type, dictate, select a prior pattern, or construct any physically/metaphysically possible intent.</x:v>
      </x:c>
      <x:c r="J6" s="108" t="str">
        <x:v>No confirmation for drafting. Review is required only when interpretation or consequences are materially ambiguous.</x:v>
      </x:c>
      <x:c r="K6" s="108" t="str">
        <x:v>Intent is translated faithfully into a structured proposal the player can inspect when needed.</x:v>
      </x:c>
      <x:c r="L6" s="108" t="str">
        <x:v>Input remains editable; inaccessible or impossible methods return concrete actor-safe reasons.</x:v>
      </x:c>
      <x:c r="M6" s="108" t="str">
        <x:v>Show honest queued/loading/pending state; preserve the player's draft and current world version; do not imply completion.</x:v>
      </x:c>
      <x:c r="N6" s="108" t="str">
        <x:v>Stop or revalidate before commitment; identify the accessible state that changed; preserve intent; refresh the interpretation without leaking hidden causes.</x:v>
      </x:c>
      <x:c r="O6" s="108" t="str">
        <x:v>Event/record ID; campaign timestamp; state version; ruleset/tuning version where applicable; source/provenance; validator result; committed inputs and output.</x:v>
      </x:c>
      <x:c r="P6" s="108" t="str">
        <x:v>Keyboard and screen-reader operable; semantic status text; no hover, drag, motion, or color-only dependency; concise labels with expandable detail.</x:v>
      </x:c>
      <x:c r="Q6" s="108" t="str">
        <x:v>Intent Dock</x:v>
      </x:c>
      <x:c r="R6" s="108" t="str">
        <x:v>Context Lens</x:v>
      </x:c>
      <x:c r="S6" s="108" t="str">
        <x:v>Critical</x:v>
      </x:c>
      <x:c r="T6" s="108" t="str">
        <x:v>P0</x:v>
      </x:c>
      <x:c r="U6" s="108" t="str">
        <x:v>Covered</x:v>
      </x:c>
      <x:c r="V6" s="108" t="str"/>
      <x:c r="W6" s="108" t="str">
        <x:v>Central acceptance boundary: the interface must never become a fixed-choice game.</x:v>
      </x:c>
      <x:c r="X6" s="109" t="n">
        <x:f>COUNTA(K6:N6)/4</x:f>
        <x:v>1</x:v>
      </x:c>
      <x:c r="Y6" s="109" t="n">
        <x:f>COUNTA(F6:R6)/13</x:f>
        <x:v>1</x:v>
      </x:c>
      <x:c r="Z6" s="108" t="str">
        <x:f>IF(OR(U6="Gap",U6="Decision Required",S6="Critical",X6&lt;1,Y6&lt;1),"REVIEW","READY")</x:f>
        <x:v>REVIEW</x:v>
      </x:c>
    </x:row>
    <x:row r="7" ht="64" customHeight="1">
      <x:c r="A7" s="110" t="str">
        <x:v>FND-002</x:v>
      </x:c>
      <x:c r="B7" s="110" t="str">
        <x:v>Foundation &amp; Agency</x:v>
      </x:c>
      <x:c r="C7" s="110" t="str">
        <x:v>Suggested possibilities</x:v>
      </x:c>
      <x:c r="D7" s="110" t="str">
        <x:v>Mythic_Superhero_RPG_World_Constitution_v1.md — §2 Player Freedom Contract; §31 Entry Modes; §32 First Launch</x:v>
      </x:c>
      <x:c r="E7" s="110" t="str">
        <x:v>When the entity or event becomes relevant to the active viewpoint.</x:v>
      </x:c>
      <x:c r="F7" s="110" t="str">
        <x:v>A small set of viewpoint-safe opportunities labeled as examples, each with relevance and known stakes.</x:v>
      </x:c>
      <x:c r="G7" s="110" t="str">
        <x:v>Only observations, records, communications, and valid inferences in the active character's Knowledge Map.</x:v>
      </x:c>
      <x:c r="H7" s="110" t="str">
        <x:v>Unobserved hooks, hidden optimal routes, engine-preferred morality, and prepared plot dependencies.</x:v>
      </x:c>
      <x:c r="I7" s="110" t="str">
        <x:v>Use, modify, ignore, dismiss, or declare something unrelated.</x:v>
      </x:c>
      <x:c r="J7" s="110" t="str">
        <x:v>Selecting an example enters interpretation; it does not commit automatically.</x:v>
      </x:c>
      <x:c r="K7" s="110" t="str">
        <x:v>Examples reduce blank-page friction without becoming perceived permissions.</x:v>
      </x:c>
      <x:c r="L7" s="110" t="str">
        <x:v>When no supported suggestion exists, show only free intent—not fabricated opportunities.</x:v>
      </x:c>
      <x:c r="M7" s="110" t="str">
        <x:v>Show honest queued/loading/pending state; preserve the player's draft and current world version; do not imply completion.</x:v>
      </x:c>
      <x:c r="N7" s="110" t="str">
        <x:v>Stop or revalidate before commitment; identify the accessible state that changed; preserve intent; refresh the interpretation without leaking hidden causes.</x:v>
      </x:c>
      <x:c r="O7" s="110" t="str">
        <x:v>Event/record ID; campaign timestamp; state version; ruleset/tuning version where applicable; source/provenance; validator result; committed inputs and output.</x:v>
      </x:c>
      <x:c r="P7" s="110" t="str">
        <x:v>Keyboard and screen-reader operable; semantic status text; no hover, drag, motion, or color-only dependency; concise labels with expandable detail.</x:v>
      </x:c>
      <x:c r="Q7" s="110" t="str">
        <x:v>Living Stage</x:v>
      </x:c>
      <x:c r="R7" s="110" t="str">
        <x:v>Intent Dock</x:v>
      </x:c>
      <x:c r="S7" s="110" t="str">
        <x:v>High</x:v>
      </x:c>
      <x:c r="T7" s="110" t="str">
        <x:v>P0</x:v>
      </x:c>
      <x:c r="U7" s="110" t="str">
        <x:v>Covered</x:v>
      </x:c>
      <x:c r="V7" s="110" t="str"/>
      <x:c r="W7" s="110" t="str"/>
      <x:c r="X7" s="111" t="n">
        <x:f>COUNTA(K7:N7)/4</x:f>
        <x:v>1</x:v>
      </x:c>
      <x:c r="Y7" s="111" t="n">
        <x:f>COUNTA(F7:R7)/13</x:f>
        <x:v>1</x:v>
      </x:c>
      <x:c r="Z7" s="110" t="str">
        <x:f>IF(OR(U7="Gap",U7="Decision Required",S7="Critical",X7&lt;1,Y7&lt;1),"REVIEW","READY")</x:f>
        <x:v>READY</x:v>
      </x:c>
    </x:row>
    <x:row r="8" ht="64" customHeight="1">
      <x:c r="A8" s="110" t="str">
        <x:v>FND-003</x:v>
      </x:c>
      <x:c r="B8" s="110" t="str">
        <x:v>Foundation &amp; Agency</x:v>
      </x:c>
      <x:c r="C8" s="110" t="str">
        <x:v>Action interpretation and correction</x:v>
      </x:c>
      <x:c r="D8" s="110" t="str">
        <x:v>Mythic_Superhero_RPG_World_Constitution_v1.md — §7 Universal Check; §12 Skill Procedure; §18 Universal Stunt; §29 Intent Interpreter</x:v>
      </x:c>
      <x:c r="E8" s="110" t="str">
        <x:v>After an intent is declared and before a materially consequential action is committed.</x:v>
      </x:c>
      <x:c r="F8" s="110" t="str">
        <x:v>Goal, method, targets, scope, time, action/resource costs, known risks, governing procedure, and declared assumptions.</x:v>
      </x:c>
      <x:c r="G8" s="110" t="str">
        <x:v>Only observations, records, communications, and valid inferences in the active character's Knowledge Map.</x:v>
      </x:c>
      <x:c r="H8" s="110" t="str">
        <x:v>Hidden DC inputs, unseen actors, private countermeasures, and any validator information outside the active viewpoint.</x:v>
      </x:c>
      <x:c r="I8" s="110" t="str">
        <x:v>Accept, edit wording, change method/target, reduce scope, add leverage, cancel, or request explanation.</x:v>
      </x:c>
      <x:c r="J8" s="110" t="str">
        <x:v>Commit only after material ambiguity is resolved; routine reversible interpretations may use a fast path.</x:v>
      </x:c>
      <x:c r="K8" s="110" t="str">
        <x:v>The accepted interpretation becomes the immutable input to validation and resolution.</x:v>
      </x:c>
      <x:c r="L8" s="110" t="str">
        <x:v>Rejected interpretation does not spend resources or alter canon.</x:v>
      </x:c>
      <x:c r="M8" s="110" t="str">
        <x:v>Show honest queued/loading/pending state; preserve the player's draft and current world version; do not imply completion.</x:v>
      </x:c>
      <x:c r="N8" s="110" t="str">
        <x:v>Stop or revalidate before commitment; identify the accessible state that changed; preserve intent; refresh the interpretation without leaking hidden causes.</x:v>
      </x:c>
      <x:c r="O8" s="110" t="str">
        <x:v>Event/record ID; campaign timestamp; state version; ruleset/tuning version where applicable; source/provenance; validator result; committed inputs and output.</x:v>
      </x:c>
      <x:c r="P8" s="110" t="str">
        <x:v>Keyboard and screen-reader operable; semantic status text; no hover, drag, motion, or color-only dependency; concise labels with expandable detail.</x:v>
      </x:c>
      <x:c r="Q8" s="110" t="str">
        <x:v>Intent Dock</x:v>
      </x:c>
      <x:c r="R8" s="110" t="str">
        <x:v>Context Lens</x:v>
      </x:c>
      <x:c r="S8" s="110" t="str">
        <x:v>Critical</x:v>
      </x:c>
      <x:c r="T8" s="110" t="str">
        <x:v>P0</x:v>
      </x:c>
      <x:c r="U8" s="110" t="str">
        <x:v>Covered</x:v>
      </x:c>
      <x:c r="V8" s="110" t="str"/>
      <x:c r="W8" s="110" t="str"/>
      <x:c r="X8" s="111" t="n">
        <x:f>COUNTA(K8:N8)/4</x:f>
        <x:v>1</x:v>
      </x:c>
      <x:c r="Y8" s="111" t="n">
        <x:f>COUNTA(F8:R8)/13</x:f>
        <x:v>1</x:v>
      </x:c>
      <x:c r="Z8" s="110" t="str">
        <x:f>IF(OR(U8="Gap",U8="Decision Required",S8="Critical",X8&lt;1,Y8&lt;1),"REVIEW","READY")</x:f>
        <x:v>REVIEW</x:v>
      </x:c>
    </x:row>
    <x:row r="9" ht="64" customHeight="1">
      <x:c r="A9" s="110" t="str">
        <x:v>FND-004</x:v>
      </x:c>
      <x:c r="B9" s="110" t="str">
        <x:v>Foundation &amp; Agency</x:v>
      </x:c>
      <x:c r="C9" s="110" t="str">
        <x:v>Impossible or invalid action</x:v>
      </x:c>
      <x:c r="D9" s="110" t="str">
        <x:v>Mythic_Superhero_RPG_World_Constitution_v1.md — §7 Natural rolls; §12 Untrained/Restricted; §18 Stunt Overreach; §29 Validation/Replanning</x:v>
      </x:c>
      <x:c r="E9" s="110" t="str">
        <x:v>When the entity or event becomes relevant to the active viewpoint.</x:v>
      </x:c>
      <x:c r="F9" s="110" t="str">
        <x:v>Preserved goal, interpreted method, concrete accessible obstacle, possible portion, and known categories of leverage.</x:v>
      </x:c>
      <x:c r="G9" s="110" t="str">
        <x:v>Only observations, records, communications, and valid inferences in the active character's Knowledge Map.</x:v>
      </x:c>
      <x:c r="H9" s="110" t="str">
        <x:v>Actor-unsafe rejection causes, secret locations, hidden immunities, inaccessible identities, and undiscovered requirements.</x:v>
      </x:c>
      <x:c r="I9" s="110" t="str">
        <x:v>Revise method, seek leverage, gather information, attempt a smaller legal effect, or abandon the goal.</x:v>
      </x:c>
      <x:c r="J9" s="110" t="str">
        <x:v>No roll or cost commitment occurs for fundamental impossibility.</x:v>
      </x:c>
      <x:c r="K9" s="110" t="str">
        <x:v>The player can revise without re-entering the entire intent.</x:v>
      </x:c>
      <x:c r="L9" s="110" t="str">
        <x:v>Never silently substitute a different legal action or say only “you cannot do that.”</x:v>
      </x:c>
      <x:c r="M9" s="110" t="str">
        <x:v>Show honest queued/loading/pending state; preserve the player's draft and current world version; do not imply completion.</x:v>
      </x:c>
      <x:c r="N9" s="110" t="str">
        <x:v>Stop or revalidate before commitment; identify the accessible state that changed; preserve intent; refresh the interpretation without leaking hidden causes.</x:v>
      </x:c>
      <x:c r="O9" s="110" t="str">
        <x:v>Event/record ID; campaign timestamp; state version; ruleset/tuning version where applicable; source/provenance; validator result; committed inputs and output.</x:v>
      </x:c>
      <x:c r="P9" s="110" t="str">
        <x:v>Keyboard and screen-reader operable; semantic status text; no hover, drag, motion, or color-only dependency; concise labels with expandable detail.</x:v>
      </x:c>
      <x:c r="Q9" s="110" t="str">
        <x:v>Intent Dock</x:v>
      </x:c>
      <x:c r="R9" s="110" t="str">
        <x:v>Chronicle &amp; Audit</x:v>
      </x:c>
      <x:c r="S9" s="110" t="str">
        <x:v>Critical</x:v>
      </x:c>
      <x:c r="T9" s="110" t="str">
        <x:v>P0</x:v>
      </x:c>
      <x:c r="U9" s="110" t="str">
        <x:v>Gap</x:v>
      </x:c>
      <x:c r="V9" s="110" t="str">
        <x:v>GAP-001</x:v>
      </x:c>
      <x:c r="W9" s="110" t="str"/>
      <x:c r="X9" s="111" t="n">
        <x:f>COUNTA(K9:N9)/4</x:f>
        <x:v>1</x:v>
      </x:c>
      <x:c r="Y9" s="111" t="n">
        <x:f>COUNTA(F9:R9)/13</x:f>
        <x:v>1</x:v>
      </x:c>
      <x:c r="Z9" s="110" t="str">
        <x:f>IF(OR(U9="Gap",U9="Decision Required",S9="Critical",X9&lt;1,Y9&lt;1),"REVIEW","READY")</x:f>
        <x:v>REVIEW</x:v>
      </x:c>
    </x:row>
    <x:row r="10" ht="64" customHeight="1">
      <x:c r="A10" s="110" t="str">
        <x:v>FND-005</x:v>
      </x:c>
      <x:c r="B10" s="110" t="str">
        <x:v>Foundation &amp; Agency</x:v>
      </x:c>
      <x:c r="C10" s="110" t="str">
        <x:v>Fast action versus material confirmation</x:v>
      </x:c>
      <x:c r="D10" s="110" t="str">
        <x:v>Mythic_Superhero_RPG_World_Constitution_v1.md — §13 Timing; §29 Player Agency; UX/UI Foundation v0.1A §8.2</x:v>
      </x:c>
      <x:c r="E10" s="110" t="str">
        <x:v>Whenever an interpreted action is ready to commit.</x:v>
      </x:c>
      <x:c r="F10" s="110" t="str">
        <x:v>Either an immediate reversible resolution path or a deliberate confirmation surface with highlighted commitments.</x:v>
      </x:c>
      <x:c r="G10" s="110" t="str">
        <x:v>Only observations, records, communications, and valid inferences in the active character's Knowledge Map.</x:v>
      </x:c>
      <x:c r="H10" s="110" t="str">
        <x:v>Engine-only truth; other actors' private knowledge, motives, and undisclosed records.</x:v>
      </x:c>
      <x:c r="I10" s="110" t="str">
        <x:v>Commit, revise, cancel, or change the confirmation preference within safe limits.</x:v>
      </x:c>
      <x:c r="J10" s="110" t="str">
        <x:v>Required for lethal/indiscriminate intent, permanent destruction, rare costs, oaths, coercion, transformation, destructive evidence handling, or decision-window compression.</x:v>
      </x:c>
      <x:c r="K10" s="110" t="str">
        <x:v>Low-risk play stays fluid while material commitments remain intentional.</x:v>
      </x:c>
      <x:c r="L10" s="110" t="str">
        <x:v>Repeated confirmations can be reduced only when the underlying risk class remains visible and reversible.</x:v>
      </x:c>
      <x:c r="M10" s="110" t="str">
        <x:v>Show honest queued/loading/pending state; preserve the player's draft and current world version; do not imply completion.</x:v>
      </x:c>
      <x:c r="N10" s="110" t="str">
        <x:v>Stop or revalidate before commitment; identify the accessible state that changed; preserve intent; refresh the interpretation without leaking hidden causes.</x:v>
      </x:c>
      <x:c r="O10" s="110" t="str">
        <x:v>Event/record ID; campaign timestamp; state version; ruleset/tuning version where applicable; source/provenance; validator result; committed inputs and output.</x:v>
      </x:c>
      <x:c r="P10" s="110" t="str">
        <x:v>Keyboard and screen-reader operable; semantic status text; no hover, drag, motion, or color-only dependency; concise labels with expandable detail.</x:v>
      </x:c>
      <x:c r="Q10" s="110" t="str">
        <x:v>Intent Dock</x:v>
      </x:c>
      <x:c r="R10" s="110" t="str">
        <x:v>Context Lens</x:v>
      </x:c>
      <x:c r="S10" s="110" t="str">
        <x:v>Critical</x:v>
      </x:c>
      <x:c r="T10" s="110" t="str">
        <x:v>P0</x:v>
      </x:c>
      <x:c r="U10" s="110" t="str">
        <x:v>Covered</x:v>
      </x:c>
      <x:c r="V10" s="110" t="str"/>
      <x:c r="W10" s="110" t="str"/>
      <x:c r="X10" s="111" t="n">
        <x:f>COUNTA(K10:N10)/4</x:f>
        <x:v>1</x:v>
      </x:c>
      <x:c r="Y10" s="111" t="n">
        <x:f>COUNTA(F10:R10)/13</x:f>
        <x:v>1</x:v>
      </x:c>
      <x:c r="Z10" s="110" t="str">
        <x:f>IF(OR(U10="Gap",U10="Decision Required",S10="Critical",X10&lt;1,Y10&lt;1),"REVIEW","READY")</x:f>
        <x:v>REVIEW</x:v>
      </x:c>
    </x:row>
    <x:row r="11" ht="64" customHeight="1">
      <x:c r="A11" s="110" t="str">
        <x:v>FND-006</x:v>
      </x:c>
      <x:c r="B11" s="110" t="str">
        <x:v>Foundation &amp; Agency</x:v>
      </x:c>
      <x:c r="C11" s="110" t="str">
        <x:v>Concise, Guided, and Audit explanations</x:v>
      </x:c>
      <x:c r="D11" s="110" t="str">
        <x:v>Mythic_Superhero_RPG_World_Constitution_v1.md — §32 Explanation Controls; §7 Mathematical Specification</x:v>
      </x:c>
      <x:c r="E11" s="110" t="str">
        <x:v>When the entity or event becomes relevant to the active viewpoint.</x:v>
      </x:c>
      <x:c r="F11" s="110" t="str">
        <x:v>One outcome rendered at the selected depth, with per-result expansion available.</x:v>
      </x:c>
      <x:c r="G11" s="110" t="str">
        <x:v>Only observations, records, communications, and valid inferences in the active character's Knowledge Map.</x:v>
      </x:c>
      <x:c r="H11" s="110" t="str">
        <x:v>No explanation depth exposes forbidden truth or uncommitted alternatives.</x:v>
      </x:c>
      <x:c r="I11" s="110" t="str">
        <x:v>Change global default; expand/collapse individual results; copy permitted audit data.</x:v>
      </x:c>
      <x:c r="J11" s="110" t="str">
        <x:v>Changing depth never changes odds or state.</x:v>
      </x:c>
      <x:c r="K11" s="110" t="str">
        <x:v>Casual play remains readable and expert play remains fully auditable.</x:v>
      </x:c>
      <x:c r="L11" s="110" t="str">
        <x:v>Unavailable deep detail shows a specific provenance/processing limitation rather than fabricated math.</x:v>
      </x:c>
      <x:c r="M11" s="110" t="str">
        <x:v>Show honest queued/loading/pending state; preserve the player's draft and current world version; do not imply completion.</x:v>
      </x:c>
      <x:c r="N11" s="110" t="str">
        <x:v>Stop or revalidate before commitment; identify the accessible state that changed; preserve intent; refresh the interpretation without leaking hidden causes.</x:v>
      </x:c>
      <x:c r="O11" s="110" t="str">
        <x:v>Event/record ID; campaign timestamp; state version; ruleset/tuning version where applicable; source/provenance; validator result; committed inputs and output.</x:v>
      </x:c>
      <x:c r="P11" s="110" t="str">
        <x:v>Keyboard and screen-reader operable; semantic status text; no hover, drag, motion, or color-only dependency; concise labels with expandable detail.</x:v>
      </x:c>
      <x:c r="Q11" s="110" t="str">
        <x:v>Chronicle &amp; Audit</x:v>
      </x:c>
      <x:c r="R11" s="110" t="str">
        <x:v>Living Stage</x:v>
      </x:c>
      <x:c r="S11" s="110" t="str">
        <x:v>High</x:v>
      </x:c>
      <x:c r="T11" s="110" t="str">
        <x:v>P0</x:v>
      </x:c>
      <x:c r="U11" s="110" t="str">
        <x:v>Covered</x:v>
      </x:c>
      <x:c r="V11" s="110" t="str"/>
      <x:c r="W11" s="110" t="str"/>
      <x:c r="X11" s="111" t="n">
        <x:f>COUNTA(K11:N11)/4</x:f>
        <x:v>1</x:v>
      </x:c>
      <x:c r="Y11" s="111" t="n">
        <x:f>COUNTA(F11:R11)/13</x:f>
        <x:v>1</x:v>
      </x:c>
      <x:c r="Z11" s="110" t="str">
        <x:f>IF(OR(U11="Gap",U11="Decision Required",S11="Critical",X11&lt;1,Y11&lt;1),"REVIEW","READY")</x:f>
        <x:v>READY</x:v>
      </x:c>
    </x:row>
    <x:row r="12" ht="64" customHeight="1">
      <x:c r="A12" s="110" t="str">
        <x:v>FND-007</x:v>
      </x:c>
      <x:c r="B12" s="110" t="str">
        <x:v>Foundation &amp; Agency</x:v>
      </x:c>
      <x:c r="C12" s="110" t="str">
        <x:v>Dice, degree, Fate, Push, and Momentum resolution</x:v>
      </x:c>
      <x:c r="D12" s="110" t="str">
        <x:v>Mythic_Superhero_RPG_World_Constitution_v1.md — §7 Core Dice; §8 Fate; §15 Momentum; §17 Damage</x:v>
      </x:c>
      <x:c r="E12" s="110" t="str">
        <x:v>When uncertainty requires a roll or the player may modify an eligible roll.</x:v>
      </x:c>
      <x:c r="F12" s="110" t="str">
        <x:v>Dice result, degree, declared modifiers, Edge/Setback, legal probability controls, costs, and committed outcome.</x:v>
      </x:c>
      <x:c r="G12" s="110" t="str">
        <x:v>Only observations, records, communications, and valid inferences in the active character's Knowledge Map.</x:v>
      </x:c>
      <x:c r="H12" s="110" t="str">
        <x:v>Unrevealed opponent resources, private Defiance, and any hidden state not legally surfaced by the procedure.</x:v>
      </x:c>
      <x:c r="I12" s="110" t="str">
        <x:v>Roll automatically, enter/manual external roll when configured, spend eligible Fate/Momentum, Push before the roll, or accept.</x:v>
      </x:c>
      <x:c r="J12" s="110" t="str">
        <x:v>Rare costs, Overdraw, or result replacement require explicit timing-appropriate confirmation.</x:v>
      </x:c>
      <x:c r="K12" s="110" t="str">
        <x:v>A satisfying but skippable resolution sequence produces the same deterministic record.</x:v>
      </x:c>
      <x:c r="L12" s="110" t="str">
        <x:v>Invalid timing or ineligible probability control is explained without rerolling.</x:v>
      </x:c>
      <x:c r="M12" s="110" t="str">
        <x:v>Show honest queued/loading/pending state; preserve the player's draft and current world version; do not imply completion.</x:v>
      </x:c>
      <x:c r="N12" s="110" t="str">
        <x:v>Stop or revalidate before commitment; identify the accessible state that changed; preserve intent; refresh the interpretation without leaking hidden causes.</x:v>
      </x:c>
      <x:c r="O12" s="110" t="str">
        <x:v>Event/record ID; campaign timestamp; state version; ruleset/tuning version where applicable; source/provenance; validator result; committed inputs and output.</x:v>
      </x:c>
      <x:c r="P12" s="110" t="str">
        <x:v>Keyboard and screen-reader operable; semantic status text; no hover, drag, motion, or color-only dependency; concise labels with expandable detail.</x:v>
      </x:c>
      <x:c r="Q12" s="110" t="str">
        <x:v>Living Stage</x:v>
      </x:c>
      <x:c r="R12" s="110" t="str">
        <x:v>Chronicle &amp; Audit</x:v>
      </x:c>
      <x:c r="S12" s="110" t="str">
        <x:v>Critical</x:v>
      </x:c>
      <x:c r="T12" s="110" t="str">
        <x:v>P0</x:v>
      </x:c>
      <x:c r="U12" s="110" t="str">
        <x:v>Gap</x:v>
      </x:c>
      <x:c r="V12" s="110" t="str">
        <x:v>GAP-012</x:v>
      </x:c>
      <x:c r="W12" s="110" t="str"/>
      <x:c r="X12" s="111" t="n">
        <x:f>COUNTA(K12:N12)/4</x:f>
        <x:v>1</x:v>
      </x:c>
      <x:c r="Y12" s="111" t="n">
        <x:f>COUNTA(F12:R12)/13</x:f>
        <x:v>1</x:v>
      </x:c>
      <x:c r="Z12" s="110" t="str">
        <x:f>IF(OR(U12="Gap",U12="Decision Required",S12="Critical",X12&lt;1,Y12&lt;1),"REVIEW","READY")</x:f>
        <x:v>REVIEW</x:v>
      </x:c>
    </x:row>
    <x:row r="13" ht="64" customHeight="1">
      <x:c r="A13" s="110" t="str">
        <x:v>TIM-001</x:v>
      </x:c>
      <x:c r="B13" s="110" t="str">
        <x:v>Time, Saves &amp; Concurrency</x:v>
      </x:c>
      <x:c r="C13" s="110" t="str">
        <x:v>Ledger Time</x:v>
      </x:c>
      <x:c r="D13" s="110" t="str">
        <x:v>Mythic_Superhero_RPG_World_Constitution_v1.md — §23 World-Time Units; §24 Travel Legs; §28 World Update Order; UX-001</x:v>
      </x:c>
      <x:c r="E13" s="110" t="str">
        <x:v>Every action, project, rest, travel leg, structured round, compression step, and scheduled event.</x:v>
      </x:c>
      <x:c r="F13" s="110" t="str">
        <x:v>Current known campaign time; action duration; known deadlines; resource/survival implications; compression stop conditions.</x:v>
      </x:c>
      <x:c r="G13" s="110" t="str">
        <x:v>Only observations, records, communications, and valid inferences in the active character's Knowledge Map.</x:v>
      </x:c>
      <x:c r="H13" s="110" t="str">
        <x:v>Unobserved scheduled actions and deadlines the character has no basis to know.</x:v>
      </x:c>
      <x:c r="I13" s="110" t="str">
        <x:v>Commit time-consuming action; plan; wait; rest; compress; stop at meaningful input; inspect known timeline.</x:v>
      </x:c>
      <x:c r="J13" s="110" t="str">
        <x:v>Confirm compression through a known decision window or materially expiring opportunity.</x:v>
      </x:c>
      <x:c r="K13" s="110" t="str">
        <x:v>World and off-screen actors advance in causal timestamp order.</x:v>
      </x:c>
      <x:c r="L13" s="110" t="str">
        <x:v>Closing the browser never maps real-world absence directly into campaign time.</x:v>
      </x:c>
      <x:c r="M13" s="110" t="str">
        <x:v>Time does not advance past a causally dependent unresolved decision.</x:v>
      </x:c>
      <x:c r="N13" s="110" t="str">
        <x:v>Resume at the last committed timestamp and state version; never fabricate offline elapsed campaign time.</x:v>
      </x:c>
      <x:c r="O13" s="110" t="str">
        <x:v>Event/record ID; campaign timestamp; state version; ruleset/tuning version where applicable; source/provenance; validator result; committed inputs and output.</x:v>
      </x:c>
      <x:c r="P13" s="110" t="str">
        <x:v>Keyboard and screen-reader operable; semantic status text; no hover, drag, motion, or color-only dependency; concise labels with expandable detail.</x:v>
      </x:c>
      <x:c r="Q13" s="110" t="str">
        <x:v>World Strip</x:v>
      </x:c>
      <x:c r="R13" s="110" t="str">
        <x:v>Chronicle &amp; Audit</x:v>
      </x:c>
      <x:c r="S13" s="110" t="str">
        <x:v>Critical</x:v>
      </x:c>
      <x:c r="T13" s="110" t="str">
        <x:v>P0</x:v>
      </x:c>
      <x:c r="U13" s="110" t="str">
        <x:v>Covered</x:v>
      </x:c>
      <x:c r="V13" s="110" t="str"/>
      <x:c r="W13" s="110" t="str">
        <x:v>Resolved by approved Foundation decision UX-001.</x:v>
      </x:c>
      <x:c r="X13" s="111" t="n">
        <x:f>COUNTA(K13:N13)/4</x:f>
        <x:v>1</x:v>
      </x:c>
      <x:c r="Y13" s="111" t="n">
        <x:f>COUNTA(F13:R13)/13</x:f>
        <x:v>1</x:v>
      </x:c>
      <x:c r="Z13" s="110" t="str">
        <x:f>IF(OR(U13="Gap",U13="Decision Required",S13="Critical",X13&lt;1,Y13&lt;1),"REVIEW","READY")</x:f>
        <x:v>REVIEW</x:v>
      </x:c>
    </x:row>
    <x:row r="14" ht="64" customHeight="1">
      <x:c r="A14" s="110" t="str">
        <x:v>TIM-002</x:v>
      </x:c>
      <x:c r="B14" s="110" t="str">
        <x:v>Time, Saves &amp; Concurrency</x:v>
      </x:c>
      <x:c r="C14" s="110" t="str">
        <x:v>Structured time and initiative</x:v>
      </x:c>
      <x:c r="D14" s="110" t="str">
        <x:v>Mythic_Superhero_RPG_World_Constitution_v1.md — §15 Encounter Timing; §18 Hazards</x:v>
      </x:c>
      <x:c r="E14" s="110" t="str">
        <x:v>Whenever exact ordering matters, including combat, pursuit, rescue, collapse, infiltration, or ritual interruption.</x:v>
      </x:c>
      <x:c r="F14" s="110" t="str">
        <x:v>Round/turn, initiative order, active actor, timing windows, reactions, hazards, and clocks permitted by the viewpoint.</x:v>
      </x:c>
      <x:c r="G14" s="110" t="str">
        <x:v>Only observations, records, communications, and valid inferences in the active character's Knowledge Map.</x:v>
      </x:c>
      <x:c r="H14" s="110" t="str">
        <x:v>Concealed participants and triggers until perceived or activated.</x:v>
      </x:c>
      <x:c r="I14" s="110" t="str">
        <x:v>Take legal actions, delay, ready, react, speak, surrender, flee, negotiate, or declare a Stunt.</x:v>
      </x:c>
      <x:c r="J14" s="110" t="str">
        <x:v>Confirm readied triggers and scarce reaction/resource spends.</x:v>
      </x:c>
      <x:c r="K14" s="110" t="str">
        <x:v>Structured time overlays the same world scene and geography.</x:v>
      </x:c>
      <x:c r="L14" s="110" t="str">
        <x:v>Invalid timing returns the action to an actor-safe edit state without consuming uncommitted cost.</x:v>
      </x:c>
      <x:c r="M14" s="110" t="str">
        <x:v>Show honest queued/loading/pending state; preserve the player's draft and current world version; do not imply completion.</x:v>
      </x:c>
      <x:c r="N14" s="110" t="str">
        <x:v>Stop or revalidate before commitment; identify the accessible state that changed; preserve intent; refresh the interpretation without leaking hidden causes.</x:v>
      </x:c>
      <x:c r="O14" s="110" t="str">
        <x:v>Event/record ID; campaign timestamp; state version; ruleset/tuning version where applicable; source/provenance; validator result; committed inputs and output.</x:v>
      </x:c>
      <x:c r="P14" s="110" t="str">
        <x:v>Keyboard and screen-reader operable; semantic status text; no hover, drag, motion, or color-only dependency; concise labels with expandable detail.</x:v>
      </x:c>
      <x:c r="Q14" s="110" t="str">
        <x:v>Immediate Danger</x:v>
      </x:c>
      <x:c r="R14" s="110" t="str">
        <x:v>Living Stage</x:v>
      </x:c>
      <x:c r="S14" s="110" t="str">
        <x:v>Critical</x:v>
      </x:c>
      <x:c r="T14" s="110" t="str">
        <x:v>P0</x:v>
      </x:c>
      <x:c r="U14" s="110" t="str">
        <x:v>Covered</x:v>
      </x:c>
      <x:c r="V14" s="110" t="str"/>
      <x:c r="W14" s="110" t="str"/>
      <x:c r="X14" s="111" t="n">
        <x:f>COUNTA(K14:N14)/4</x:f>
        <x:v>1</x:v>
      </x:c>
      <x:c r="Y14" s="111" t="n">
        <x:f>COUNTA(F14:R14)/13</x:f>
        <x:v>1</x:v>
      </x:c>
      <x:c r="Z14" s="110" t="str">
        <x:f>IF(OR(U14="Gap",U14="Decision Required",S14="Critical",X14&lt;1,Y14&lt;1),"REVIEW","READY")</x:f>
        <x:v>REVIEW</x:v>
      </x:c>
    </x:row>
    <x:row r="15" ht="64" customHeight="1">
      <x:c r="A15" s="110" t="str">
        <x:v>TIM-003</x:v>
      </x:c>
      <x:c r="B15" s="110" t="str">
        <x:v>Time, Saves &amp; Concurrency</x:v>
      </x:c>
      <x:c r="C15" s="110" t="str">
        <x:v>Journey and downtime compression</x:v>
      </x:c>
      <x:c r="D15" s="110" t="str">
        <x:v>Mythic_Superhero_RPG_World_Constitution_v1.md — §23 Narrative Compression; §24 Journey Compression</x:v>
      </x:c>
      <x:c r="E15" s="110" t="str">
        <x:v>When the route/process is known, reproducible, resourced, and the player consents.</x:v>
      </x:c>
      <x:c r="F15" s="110" t="str">
        <x:v>Planned intervals, assumptions, supplies/fuel, expected arrival, known risks, and explicit pause conditions.</x:v>
      </x:c>
      <x:c r="G15" s="110" t="str">
        <x:v>Only observations, records, communications, and valid inferences in the active character's Knowledge Map.</x:v>
      </x:c>
      <x:c r="H15" s="110" t="str">
        <x:v>Untriggered hidden events and inaccessible route facts.</x:v>
      </x:c>
      <x:c r="I15" s="110" t="str">
        <x:v>Start, cancel before commit, choose stop conditions, inspect resolved intervals, resume after interruptions.</x:v>
      </x:c>
      <x:c r="J15" s="110" t="str">
        <x:v>Required before crossing known deadlines or consuming substantial time/resources.</x:v>
      </x:c>
      <x:c r="K15" s="110" t="str">
        <x:v>Intervals resolve sequentially and pause at meaningful events or decisions.</x:v>
      </x:c>
      <x:c r="L15" s="110" t="str">
        <x:v>Compression stops honestly on route closure, warning, failure, autonomy conflict, discovery, combat, or arrival.</x:v>
      </x:c>
      <x:c r="M15" s="110" t="str">
        <x:v>Show honest queued/loading/pending state; preserve the player's draft and current world version; do not imply completion.</x:v>
      </x:c>
      <x:c r="N15" s="110" t="str">
        <x:v>Stop or revalidate before commitment; identify the accessible state that changed; preserve intent; refresh the interpretation without leaking hidden causes.</x:v>
      </x:c>
      <x:c r="O15" s="110" t="str">
        <x:v>Event/record ID; campaign timestamp; state version; ruleset/tuning version where applicable; source/provenance; validator result; committed inputs and output.</x:v>
      </x:c>
      <x:c r="P15" s="110" t="str">
        <x:v>Keyboard and screen-reader operable; semantic status text; no hover, drag, motion, or color-only dependency; concise labels with expandable detail.</x:v>
      </x:c>
      <x:c r="Q15" s="110" t="str">
        <x:v>Travel &amp; Survival</x:v>
      </x:c>
      <x:c r="R15" s="110" t="str">
        <x:v>World Strip</x:v>
      </x:c>
      <x:c r="S15" s="110" t="str">
        <x:v>High</x:v>
      </x:c>
      <x:c r="T15" s="110" t="str">
        <x:v>P1</x:v>
      </x:c>
      <x:c r="U15" s="110" t="str">
        <x:v>Covered</x:v>
      </x:c>
      <x:c r="V15" s="110" t="str"/>
      <x:c r="W15" s="110" t="str"/>
      <x:c r="X15" s="111" t="n">
        <x:f>COUNTA(K15:N15)/4</x:f>
        <x:v>1</x:v>
      </x:c>
      <x:c r="Y15" s="111" t="n">
        <x:f>COUNTA(F15:R15)/13</x:f>
        <x:v>1</x:v>
      </x:c>
      <x:c r="Z15" s="110" t="str">
        <x:f>IF(OR(U15="Gap",U15="Decision Required",S15="Critical",X15&lt;1,Y15&lt;1),"REVIEW","READY")</x:f>
        <x:v>READY</x:v>
      </x:c>
    </x:row>
    <x:row r="16" ht="64" customHeight="1">
      <x:c r="A16" s="110" t="str">
        <x:v>TIM-004</x:v>
      </x:c>
      <x:c r="B16" s="110" t="str">
        <x:v>Time, Saves &amp; Concurrency</x:v>
      </x:c>
      <x:c r="C16" s="110" t="str">
        <x:v>Off-screen world simulation</x:v>
      </x:c>
      <x:c r="D16" s="110" t="str">
        <x:v>Mythic_Superhero_RPG_World_Constitution_v1.md — §27 Split Parties; §28 Simulation Contract; §29 Scheduler</x:v>
      </x:c>
      <x:c r="E16" s="110" t="str">
        <x:v>When campaign time advances while relevant actors or processes are outside the active scene.</x:v>
      </x:c>
      <x:c r="F16" s="110" t="str">
        <x:v>Only communicated, witnessed, later-discovered, or player-authorized viewpoint results; summarized notifications with provenance.</x:v>
      </x:c>
      <x:c r="G16" s="110" t="str">
        <x:v>Only observations, records, communications, and valid inferences in the active character's Knowledge Map.</x:v>
      </x:c>
      <x:c r="H16" s="110" t="str">
        <x:v>Private actions, plans, exact Front state, and uncommunicated outcomes.</x:v>
      </x:c>
      <x:c r="I16" s="110" t="str">
        <x:v>Inspect accessible updates; contact actors; change plans; investigate; switch authorized viewpoint where allowed.</x:v>
      </x:c>
      <x:c r="J16" s="110" t="str">
        <x:v>No confirmation for deterministic scheduled events; player input is required when the protagonist or delegated authority must decide.</x:v>
      </x:c>
      <x:c r="K16" s="110" t="str">
        <x:v>World changes remain causally linked and do not relocate skipped content.</x:v>
      </x:c>
      <x:c r="L16" s="110" t="str">
        <x:v>If mandatory agent work is unresolved, simulation pauses at its timestamp instead of pretending a result.</x:v>
      </x:c>
      <x:c r="M16" s="110" t="str">
        <x:v>Show honest queued/loading/pending state; preserve the player's draft and current world version; do not imply completion.</x:v>
      </x:c>
      <x:c r="N16" s="110" t="str">
        <x:v>Stop or revalidate before commitment; identify the accessible state that changed; preserve intent; refresh the interpretation without leaking hidden causes.</x:v>
      </x:c>
      <x:c r="O16" s="110" t="str">
        <x:v>Event/record ID; campaign timestamp; state version; ruleset/tuning version where applicable; source/provenance; validator result; committed inputs and output.</x:v>
      </x:c>
      <x:c r="P16" s="110" t="str">
        <x:v>Keyboard and screen-reader operable; semantic status text; no hover, drag, motion, or color-only dependency; concise labels with expandable detail.</x:v>
      </x:c>
      <x:c r="Q16" s="110" t="str">
        <x:v>Chronicle &amp; Audit</x:v>
      </x:c>
      <x:c r="R16" s="110" t="str">
        <x:v>Factions &amp; Fronts</x:v>
      </x:c>
      <x:c r="S16" s="110" t="str">
        <x:v>Critical</x:v>
      </x:c>
      <x:c r="T16" s="110" t="str">
        <x:v>P0</x:v>
      </x:c>
      <x:c r="U16" s="110" t="str">
        <x:v>Gap</x:v>
      </x:c>
      <x:c r="V16" s="110" t="str">
        <x:v>GAP-005</x:v>
      </x:c>
      <x:c r="W16" s="110" t="str"/>
      <x:c r="X16" s="111" t="n">
        <x:f>COUNTA(K16:N16)/4</x:f>
        <x:v>1</x:v>
      </x:c>
      <x:c r="Y16" s="111" t="n">
        <x:f>COUNTA(F16:R16)/13</x:f>
        <x:v>1</x:v>
      </x:c>
      <x:c r="Z16" s="110" t="str">
        <x:f>IF(OR(U16="Gap",U16="Decision Required",S16="Critical",X16&lt;1,Y16&lt;1),"REVIEW","READY")</x:f>
        <x:v>REVIEW</x:v>
      </x:c>
    </x:row>
    <x:row r="17" ht="64" customHeight="1">
      <x:c r="A17" s="110" t="str">
        <x:v>TIM-005</x:v>
      </x:c>
      <x:c r="B17" s="110" t="str">
        <x:v>Time, Saves &amp; Concurrency</x:v>
      </x:c>
      <x:c r="C17" s="110" t="str">
        <x:v>Save, resume, reconnect, and recovery</x:v>
      </x:c>
      <x:c r="D17" s="110" t="str">
        <x:v>Mythic_Superhero_RPG_World_Constitution_v1.md — §29 Idempotency/Failure; §32 Saving and Recovery</x:v>
      </x:c>
      <x:c r="E17" s="110" t="str">
        <x:v>Autosave, player save, browser close, network loss, device change, or restore.</x:v>
      </x:c>
      <x:c r="F17" s="110" t="str">
        <x:v>Last committed event/time, save health, pending draft status, connection state, and recovery options.</x:v>
      </x:c>
      <x:c r="G17" s="110" t="str">
        <x:v>Only observations, records, communications, and valid inferences in the active character's Knowledge Map.</x:v>
      </x:c>
      <x:c r="H17" s="110" t="str">
        <x:v>No hidden state is exposed through diagnostic details or missing IDs.</x:v>
      </x:c>
      <x:c r="I17" s="110" t="str">
        <x:v>Resume, retry transport, restore last valid snapshot, inspect recovery report, or duplicate/import where permitted.</x:v>
      </x:c>
      <x:c r="J17" s="110" t="str">
        <x:v>Confirm destructive rollback or branch creation; ordinary reconnect is automatic and idempotent.</x:v>
      </x:c>
      <x:c r="K17" s="110" t="str">
        <x:v>Campaign resumes from a recoverable snapshot with replay parity.</x:v>
      </x:c>
      <x:c r="L17" s="110" t="str">
        <x:v>Corrupt or incomplete save presents the last verified recoverable point without claiming lost events were committed.</x:v>
      </x:c>
      <x:c r="M17" s="110" t="str">
        <x:v>Keep draft locally when safe; show whether the action was committed, uncommitted, or status-unknown.</x:v>
      </x:c>
      <x:c r="N17" s="110" t="str">
        <x:v>Resolve against idempotency key and server commit status before offering retry.</x:v>
      </x:c>
      <x:c r="O17" s="110" t="str">
        <x:v>Event/record ID; campaign timestamp; state version; ruleset/tuning version where applicable; source/provenance; validator result; committed inputs and output.</x:v>
      </x:c>
      <x:c r="P17" s="110" t="str">
        <x:v>Keyboard and screen-reader operable; semantic status text; no hover, drag, motion, or color-only dependency; concise labels with expandable detail.</x:v>
      </x:c>
      <x:c r="Q17" s="110" t="str">
        <x:v>Home &amp; Recovery</x:v>
      </x:c>
      <x:c r="R17" s="110" t="str">
        <x:v>Support &amp; Recovery</x:v>
      </x:c>
      <x:c r="S17" s="110" t="str">
        <x:v>Critical</x:v>
      </x:c>
      <x:c r="T17" s="110" t="str">
        <x:v>P0</x:v>
      </x:c>
      <x:c r="U17" s="110" t="str">
        <x:v>Gap</x:v>
      </x:c>
      <x:c r="V17" s="110" t="str">
        <x:v>GAP-014</x:v>
      </x:c>
      <x:c r="W17" s="110" t="str"/>
      <x:c r="X17" s="111" t="n">
        <x:f>COUNTA(K17:N17)/4</x:f>
        <x:v>1</x:v>
      </x:c>
      <x:c r="Y17" s="111" t="n">
        <x:f>COUNTA(F17:R17)/13</x:f>
        <x:v>1</x:v>
      </x:c>
      <x:c r="Z17" s="110" t="str">
        <x:f>IF(OR(U17="Gap",U17="Decision Required",S17="Critical",X17&lt;1,Y17&lt;1),"REVIEW","READY")</x:f>
        <x:v>REVIEW</x:v>
      </x:c>
    </x:row>
    <x:row r="18" ht="64" customHeight="1">
      <x:c r="A18" s="110" t="str">
        <x:v>TIM-006</x:v>
      </x:c>
      <x:c r="B18" s="110" t="str">
        <x:v>Time, Saves &amp; Concurrency</x:v>
      </x:c>
      <x:c r="C18" s="110" t="str">
        <x:v>Stale world and version conflict</x:v>
      </x:c>
      <x:c r="D18" s="110" t="str">
        <x:v>Mythic_Superhero_RPG_World_Constitution_v1.md — §29 Context and Concurrency Version; Validation Pipeline</x:v>
      </x:c>
      <x:c r="E18" s="110" t="str">
        <x:v>When expected world version differs from current world version before resolution.</x:v>
      </x:c>
      <x:c r="F18" s="110" t="str">
        <x:v>That relevant state changed; which accessible assumption/target/cost is now invalid; a refreshed interpretation.</x:v>
      </x:c>
      <x:c r="G18" s="110" t="str">
        <x:v>Only observations, records, communications, and valid inferences in the active character's Knowledge Map.</x:v>
      </x:c>
      <x:c r="H18" s="110" t="str">
        <x:v>Inaccessible causes of the state change and other agents' private proposals.</x:v>
      </x:c>
      <x:c r="I18" s="110" t="str">
        <x:v>Accept safe rebase, revise, re-target, cancel, or inspect accessible changes.</x:v>
      </x:c>
      <x:c r="J18" s="110" t="str">
        <x:v>Any material rebase requires renewed confirmation; irrelevant changes may revalidate automatically.</x:v>
      </x:c>
      <x:c r="K18" s="110" t="str">
        <x:v>No double spend, vanished target attack, or superseded custody action is committed.</x:v>
      </x:c>
      <x:c r="L18" s="110" t="str">
        <x:v>Conflict never silently chooses a new target or method.</x:v>
      </x:c>
      <x:c r="M18" s="110" t="str">
        <x:v>Show honest queued/loading/pending state; preserve the player's draft and current world version; do not imply completion.</x:v>
      </x:c>
      <x:c r="N18" s="110" t="str">
        <x:v>Stop or revalidate before commitment; identify the accessible state that changed; preserve intent; refresh the interpretation without leaking hidden causes.</x:v>
      </x:c>
      <x:c r="O18" s="110" t="str">
        <x:v>Event/record ID; campaign timestamp; state version; ruleset/tuning version where applicable; source/provenance; validator result; committed inputs and output.</x:v>
      </x:c>
      <x:c r="P18" s="110" t="str">
        <x:v>Keyboard and screen-reader operable; semantic status text; no hover, drag, motion, or color-only dependency; concise labels with expandable detail.</x:v>
      </x:c>
      <x:c r="Q18" s="110" t="str">
        <x:v>Intent Dock</x:v>
      </x:c>
      <x:c r="R18" s="110" t="str">
        <x:v>Support &amp; Recovery</x:v>
      </x:c>
      <x:c r="S18" s="110" t="str">
        <x:v>Critical</x:v>
      </x:c>
      <x:c r="T18" s="110" t="str">
        <x:v>P0</x:v>
      </x:c>
      <x:c r="U18" s="110" t="str">
        <x:v>Gap</x:v>
      </x:c>
      <x:c r="V18" s="110" t="str">
        <x:v>GAP-006</x:v>
      </x:c>
      <x:c r="W18" s="110" t="str"/>
      <x:c r="X18" s="111" t="n">
        <x:f>COUNTA(K18:N18)/4</x:f>
        <x:v>1</x:v>
      </x:c>
      <x:c r="Y18" s="111" t="n">
        <x:f>COUNTA(F18:R18)/13</x:f>
        <x:v>1</x:v>
      </x:c>
      <x:c r="Z18" s="110" t="str">
        <x:f>IF(OR(U18="Gap",U18="Decision Required",S18="Critical",X18&lt;1,Y18&lt;1),"REVIEW","READY")</x:f>
        <x:v>REVIEW</x:v>
      </x:c>
    </x:row>
    <x:row r="19" ht="64" customHeight="1">
      <x:c r="A19" s="110" t="str">
        <x:v>TIM-007</x:v>
      </x:c>
      <x:c r="B19" s="110" t="str">
        <x:v>Time, Saves &amp; Concurrency</x:v>
      </x:c>
      <x:c r="C19" s="110" t="str">
        <x:v>Simultaneous and interrupting choices</x:v>
      </x:c>
      <x:c r="D19" s="110" t="str">
        <x:v>Mythic_Superhero_RPG_World_Constitution_v1.md — §15 Reaction Timing; §28 World Update Order; §29 Simultaneous Action</x:v>
      </x:c>
      <x:c r="E19" s="110" t="str">
        <x:v>When proposals share a resolution group or a reaction/interrupt becomes due.</x:v>
      </x:c>
      <x:c r="F19" s="110" t="str">
        <x:v>Decision window, eligible known triggers, remaining time/order, and whether another choice is pending.</x:v>
      </x:c>
      <x:c r="G19" s="110" t="str">
        <x:v>Only observations, records, communications, and valid inferences in the active character's Knowledge Map.</x:v>
      </x:c>
      <x:c r="H19" s="110" t="str">
        <x:v>Other participants' uncommitted proposals and inaccessible reaction resources.</x:v>
      </x:c>
      <x:c r="I19" s="110" t="str">
        <x:v>React, decline, set priority among owned effects, submit simultaneous choice, or let a declared default apply.</x:v>
      </x:c>
      <x:c r="J19" s="110" t="str">
        <x:v>Commit once the timing window closes; scarce resources remain explicit.</x:v>
      </x:c>
      <x:c r="K19" s="110" t="str">
        <x:v>Shared snapshot resolves contests deterministically.</x:v>
      </x:c>
      <x:c r="L19" s="110" t="str">
        <x:v>Expired or invalid reaction is explained without exposing the hidden action beyond what the trigger reveals.</x:v>
      </x:c>
      <x:c r="M19" s="110" t="str">
        <x:v>Show honest queued/loading/pending state; preserve the player's draft and current world version; do not imply completion.</x:v>
      </x:c>
      <x:c r="N19" s="110" t="str">
        <x:v>Stop or revalidate before commitment; identify the accessible state that changed; preserve intent; refresh the interpretation without leaking hidden causes.</x:v>
      </x:c>
      <x:c r="O19" s="110" t="str">
        <x:v>Event/record ID; campaign timestamp; state version; ruleset/tuning version where applicable; source/provenance; validator result; committed inputs and output.</x:v>
      </x:c>
      <x:c r="P19" s="110" t="str">
        <x:v>Keyboard and screen-reader operable; semantic status text; no hover, drag, motion, or color-only dependency; concise labels with expandable detail.</x:v>
      </x:c>
      <x:c r="Q19" s="110" t="str">
        <x:v>Immediate Danger</x:v>
      </x:c>
      <x:c r="R19" s="110" t="str">
        <x:v>Intent Dock</x:v>
      </x:c>
      <x:c r="S19" s="110" t="str">
        <x:v>Critical</x:v>
      </x:c>
      <x:c r="T19" s="110" t="str">
        <x:v>P0</x:v>
      </x:c>
      <x:c r="U19" s="110" t="str">
        <x:v>Covered</x:v>
      </x:c>
      <x:c r="V19" s="110" t="str"/>
      <x:c r="W19" s="110" t="str"/>
      <x:c r="X19" s="111" t="n">
        <x:f>COUNTA(K19:N19)/4</x:f>
        <x:v>1</x:v>
      </x:c>
      <x:c r="Y19" s="111" t="n">
        <x:f>COUNTA(F19:R19)/13</x:f>
        <x:v>1</x:v>
      </x:c>
      <x:c r="Z19" s="110" t="str">
        <x:f>IF(OR(U19="Gap",U19="Decision Required",S19="Critical",X19&lt;1,Y19&lt;1),"REVIEW","READY")</x:f>
        <x:v>REVIEW</x:v>
      </x:c>
    </x:row>
    <x:row r="20" ht="64" customHeight="1">
      <x:c r="A20" s="110" t="str">
        <x:v>KNO-001</x:v>
      </x:c>
      <x:c r="B20" s="110" t="str">
        <x:v>Knowledge &amp; Disclosure</x:v>
      </x:c>
      <x:c r="C20" s="110" t="str">
        <x:v>Canon, Truth Records, Knowledge Maps, and belief</x:v>
      </x:c>
      <x:c r="D20" s="110" t="str">
        <x:v>Mythic_Superhero_RPG_World_Constitution_v1.md — §24 Canonical vs Known World; §25 Case Records; §29 Canon and Memory Strata</x:v>
      </x:c>
      <x:c r="E20" s="110" t="str">
        <x:v>Whenever state-bearing information is displayed or used in an action interpretation.</x:v>
      </x:c>
      <x:c r="F20" s="110" t="str">
        <x:v>Perceived, Recorded, Reported, Inferred, Forecast, Disputed, Last Known, or Out-of-Character classification with provenance when material.</x:v>
      </x:c>
      <x:c r="G20" s="110" t="str">
        <x:v>Only information actually observed, received, inferred, remembered, or created at character generation.</x:v>
      </x:c>
      <x:c r="H20" s="110" t="str">
        <x:v>Truth Records; unknown geometry; private motives; hidden identities; undisclosed agent memory; canonical fact links.</x:v>
      </x:c>
      <x:c r="I20" s="110" t="str">
        <x:v>Inspect source, compare contradictions, form/revise hypotheses, share or withhold accessible information.</x:v>
      </x:c>
      <x:c r="J20" s="110" t="str">
        <x:v>Warn before knowingly using or sharing disputed/secret information when consequences are material.</x:v>
      </x:c>
      <x:c r="K20" s="110" t="str">
        <x:v>The player understands epistemic status without the UI certifying belief as truth.</x:v>
      </x:c>
      <x:c r="L20" s="110" t="str">
        <x:v>No accessible result means unknown—not false.</x:v>
      </x:c>
      <x:c r="M20" s="110" t="str">
        <x:v>Show honest queued/loading/pending state; preserve the player's draft and current world version; do not imply completion.</x:v>
      </x:c>
      <x:c r="N20" s="110" t="str">
        <x:v>Stop or revalidate before commitment; identify the accessible state that changed; preserve intent; refresh the interpretation without leaking hidden causes.</x:v>
      </x:c>
      <x:c r="O20" s="110" t="str">
        <x:v>Event/record ID; campaign timestamp; state version; ruleset/tuning version where applicable; source/provenance; validator result; committed inputs and output.</x:v>
      </x:c>
      <x:c r="P20" s="110" t="str">
        <x:v>Keyboard and screen-reader operable; semantic status text; no hover, drag, motion, or color-only dependency; concise labels with expandable detail.</x:v>
      </x:c>
      <x:c r="Q20" s="110" t="str">
        <x:v>Context Lens</x:v>
      </x:c>
      <x:c r="R20" s="110" t="str">
        <x:v>Chronicle &amp; Audit</x:v>
      </x:c>
      <x:c r="S20" s="110" t="str">
        <x:v>Critical</x:v>
      </x:c>
      <x:c r="T20" s="110" t="str">
        <x:v>P0</x:v>
      </x:c>
      <x:c r="U20" s="110" t="str">
        <x:v>Covered</x:v>
      </x:c>
      <x:c r="V20" s="110" t="str"/>
      <x:c r="W20" s="110" t="str"/>
      <x:c r="X20" s="111" t="n">
        <x:f>COUNTA(K20:N20)/4</x:f>
        <x:v>1</x:v>
      </x:c>
      <x:c r="Y20" s="111" t="n">
        <x:f>COUNTA(F20:R20)/13</x:f>
        <x:v>1</x:v>
      </x:c>
      <x:c r="Z20" s="110" t="str">
        <x:f>IF(OR(U20="Gap",U20="Decision Required",S20="Critical",X20&lt;1,Y20&lt;1),"REVIEW","READY")</x:f>
        <x:v>REVIEW</x:v>
      </x:c>
    </x:row>
    <x:row r="21" ht="64" customHeight="1">
      <x:c r="A21" s="110" t="str">
        <x:v>KNO-002</x:v>
      </x:c>
      <x:c r="B21" s="110" t="str">
        <x:v>Knowledge &amp; Disclosure</x:v>
      </x:c>
      <x:c r="C21" s="110" t="str">
        <x:v>Immediate senses and permitted narration</x:v>
      </x:c>
      <x:c r="D21" s="110" t="str">
        <x:v>Mythic_Superhero_RPG_World_Constitution_v1.md — §25 Senses; §29 Narration and Detail Commit</x:v>
      </x:c>
      <x:c r="E21" s="110" t="str">
        <x:v>When the entity or event becomes relevant to the active viewpoint.</x:v>
      </x:c>
      <x:c r="F21" s="110" t="str">
        <x:v>Plainly perceptible features, sensory limitations, viewpoint, and uncertainty; concrete details become persistent when presented.</x:v>
      </x:c>
      <x:c r="G21" s="110" t="str">
        <x:v>Only observations, records, communications, and valid inferences in the active character's Knowledge Map.</x:v>
      </x:c>
      <x:c r="H21" s="110" t="str">
        <x:v>Objects, actors, exits, and clues outside valid senses or committed detail rules.</x:v>
      </x:c>
      <x:c r="I21" s="110" t="str">
        <x:v>Observe, change vantage, activate a sense, search, ask, record, or act on what is perceived.</x:v>
      </x:c>
      <x:c r="J21" s="110" t="str">
        <x:v>Active/emitted senses show known signature or cost before use.</x:v>
      </x:c>
      <x:c r="K21" s="110" t="str">
        <x:v>Narration reports valid perception and does not hide the obvious to preserve suspense.</x:v>
      </x:c>
      <x:c r="L21" s="110" t="str">
        <x:v>Sensor obstruction or uncertainty is explicit; false detail requires a real distortion source.</x:v>
      </x:c>
      <x:c r="M21" s="110" t="str">
        <x:v>Show honest queued/loading/pending state; preserve the player's draft and current world version; do not imply completion.</x:v>
      </x:c>
      <x:c r="N21" s="110" t="str">
        <x:v>Stop or revalidate before commitment; identify the accessible state that changed; preserve intent; refresh the interpretation without leaking hidden causes.</x:v>
      </x:c>
      <x:c r="O21" s="110" t="str">
        <x:v>Event/record ID; campaign timestamp; state version; ruleset/tuning version where applicable; source/provenance; validator result; committed inputs and output.</x:v>
      </x:c>
      <x:c r="P21" s="110" t="str">
        <x:v>Keyboard and screen-reader operable; semantic status text; no hover, drag, motion, or color-only dependency; concise labels with expandable detail.</x:v>
      </x:c>
      <x:c r="Q21" s="110" t="str">
        <x:v>Living Stage</x:v>
      </x:c>
      <x:c r="R21" s="110" t="str">
        <x:v>Context Lens</x:v>
      </x:c>
      <x:c r="S21" s="110" t="str">
        <x:v>Critical</x:v>
      </x:c>
      <x:c r="T21" s="110" t="str">
        <x:v>P0</x:v>
      </x:c>
      <x:c r="U21" s="110" t="str">
        <x:v>Covered</x:v>
      </x:c>
      <x:c r="V21" s="110" t="str"/>
      <x:c r="W21" s="110" t="str"/>
      <x:c r="X21" s="111" t="n">
        <x:f>COUNTA(K21:N21)/4</x:f>
        <x:v>1</x:v>
      </x:c>
      <x:c r="Y21" s="111" t="n">
        <x:f>COUNTA(F21:R21)/13</x:f>
        <x:v>1</x:v>
      </x:c>
      <x:c r="Z21" s="110" t="str">
        <x:f>IF(OR(U21="Gap",U21="Decision Required",S21="Critical",X21&lt;1,Y21&lt;1),"REVIEW","READY")</x:f>
        <x:v>REVIEW</x:v>
      </x:c>
    </x:row>
    <x:row r="22" ht="64" customHeight="1">
      <x:c r="A22" s="110" t="str">
        <x:v>KNO-003</x:v>
      </x:c>
      <x:c r="B22" s="110" t="str">
        <x:v>Knowledge &amp; Disclosure</x:v>
      </x:c>
      <x:c r="C22" s="110" t="str">
        <x:v>Player-safe versus character-safe knowledge</x:v>
      </x:c>
      <x:c r="D22" s="110" t="str">
        <x:v>Mythic_Superhero_RPG_World_Constitution_v1.md — §30 Reader Knowledge Ceiling; §32 Lore and Knowledge Separation</x:v>
      </x:c>
      <x:c r="E22" s="110" t="str">
        <x:v>Issue #0, comic reading, viewpoint switches, player-safe recaps, or imported campaign history.</x:v>
      </x:c>
      <x:c r="F22" s="110" t="str">
        <x:v>Clearly quarantined out-of-character material with an active-character usability boundary.</x:v>
      </x:c>
      <x:c r="G22" s="110" t="str">
        <x:v>The character retains only its own Knowledge Map even when the player knows more.</x:v>
      </x:c>
      <x:c r="H22" s="110" t="str">
        <x:v>Engine-only truth remains hidden unless Omniscient Archive is explicitly authorized.</x:v>
      </x:c>
      <x:c r="I22" s="110" t="str">
        <x:v>Read, defer, skip, inspect source, or return to character-safe view.</x:v>
      </x:c>
      <x:c r="J22" s="110" t="str">
        <x:v>Warn before sharing player-known information the active character lacks; do not offer it as action support.</x:v>
      </x:c>
      <x:c r="K22" s="110" t="str">
        <x:v>Dramatic irony is usable by the player without contaminating agent or character decisions.</x:v>
      </x:c>
      <x:c r="L22" s="110" t="str">
        <x:v>Action interpretation cannot cite out-of-character knowledge as a character premise.</x:v>
      </x:c>
      <x:c r="M22" s="110" t="str">
        <x:v>Show honest queued/loading/pending state; preserve the player's draft and current world version; do not imply completion.</x:v>
      </x:c>
      <x:c r="N22" s="110" t="str">
        <x:v>Stop or revalidate before commitment; identify the accessible state that changed; preserve intent; refresh the interpretation without leaking hidden causes.</x:v>
      </x:c>
      <x:c r="O22" s="110" t="str">
        <x:v>Event/record ID; campaign timestamp; state version; ruleset/tuning version where applicable; source/provenance; validator result; committed inputs and output.</x:v>
      </x:c>
      <x:c r="P22" s="110" t="str">
        <x:v>Keyboard and screen-reader operable; semantic status text; no hover, drag, motion, or color-only dependency; concise labels with expandable detail.</x:v>
      </x:c>
      <x:c r="Q22" s="110" t="str">
        <x:v>Chronicle &amp; Audit</x:v>
      </x:c>
      <x:c r="R22" s="110" t="str">
        <x:v>Comic Queue &amp; Library</x:v>
      </x:c>
      <x:c r="S22" s="110" t="str">
        <x:v>Critical</x:v>
      </x:c>
      <x:c r="T22" s="110" t="str">
        <x:v>P0</x:v>
      </x:c>
      <x:c r="U22" s="110" t="str">
        <x:v>Covered</x:v>
      </x:c>
      <x:c r="V22" s="110" t="str"/>
      <x:c r="W22" s="110" t="str"/>
      <x:c r="X22" s="111" t="n">
        <x:f>COUNTA(K22:N22)/4</x:f>
        <x:v>1</x:v>
      </x:c>
      <x:c r="Y22" s="111" t="n">
        <x:f>COUNTA(F22:R22)/13</x:f>
        <x:v>1</x:v>
      </x:c>
      <x:c r="Z22" s="110" t="str">
        <x:f>IF(OR(U22="Gap",U22="Decision Required",S22="Critical",X22&lt;1,Y22&lt;1),"REVIEW","READY")</x:f>
        <x:v>REVIEW</x:v>
      </x:c>
    </x:row>
    <x:row r="23" ht="64" customHeight="1">
      <x:c r="A23" s="110" t="str">
        <x:v>KNO-004</x:v>
      </x:c>
      <x:c r="B23" s="110" t="str">
        <x:v>Knowledge &amp; Disclosure</x:v>
      </x:c>
      <x:c r="C23" s="110" t="str">
        <x:v>Rumors, testimony, propaganda, and Information Packets</x:v>
      </x:c>
      <x:c r="D23" s="110" t="str">
        <x:v>Mythic_Superhero_RPG_World_Constitution_v1.md — §25 Testimony; §28 Information Objects/Rumors</x:v>
      </x:c>
      <x:c r="E23" s="110" t="str">
        <x:v>When the entity or event becomes relevant to the active viewpoint.</x:v>
      </x:c>
      <x:c r="F23" s="110" t="str">
        <x:v>Exact accessible claim, speaker/source, channel, timestamp, credibility assessment, contradictions, and derivative status.</x:v>
      </x:c>
      <x:c r="G23" s="110" t="str">
        <x:v>Only observations, records, communications, and valid inferences in the active character's Knowledge Map.</x:v>
      </x:c>
      <x:c r="H23" s="110" t="str">
        <x:v>Canonical accuracy classification, private intent, inaccessible chain, and recipients outside the viewpoint.</x:v>
      </x:c>
      <x:c r="I23" s="110" t="str">
        <x:v>Believe, doubt, compare, share accurately, summarize, distort, lie, suppress, investigate, or ignore.</x:v>
      </x:c>
      <x:c r="J23" s="110" t="str">
        <x:v>Confirm publication/broadcast when identity, Exposure, Heat, or evidence consequences are known.</x:v>
      </x:c>
      <x:c r="K23" s="110" t="str">
        <x:v>Recipients gain the packet rather than canonical truth.</x:v>
      </x:c>
      <x:c r="L23" s="110" t="str">
        <x:v>Failed transmission or weak credibility never mutates wording unless an existing distortion profile applies.</x:v>
      </x:c>
      <x:c r="M23" s="110" t="str">
        <x:v>Show honest queued/loading/pending state; preserve the player's draft and current world version; do not imply completion.</x:v>
      </x:c>
      <x:c r="N23" s="110" t="str">
        <x:v>Stop or revalidate before commitment; identify the accessible state that changed; preserve intent; refresh the interpretation without leaking hidden causes.</x:v>
      </x:c>
      <x:c r="O23" s="110" t="str">
        <x:v>Event/record ID; campaign timestamp; state version; ruleset/tuning version where applicable; source/provenance; validator result; committed inputs and output.</x:v>
      </x:c>
      <x:c r="P23" s="110" t="str">
        <x:v>Keyboard and screen-reader operable; semantic status text; no hover, drag, motion, or color-only dependency; concise labels with expandable detail.</x:v>
      </x:c>
      <x:c r="Q23" s="110" t="str">
        <x:v>Case Graph &amp; Evidence</x:v>
      </x:c>
      <x:c r="R23" s="110" t="str">
        <x:v>Chronicle &amp; Audit</x:v>
      </x:c>
      <x:c r="S23" s="110" t="str">
        <x:v>High</x:v>
      </x:c>
      <x:c r="T23" s="110" t="str">
        <x:v>P1</x:v>
      </x:c>
      <x:c r="U23" s="110" t="str">
        <x:v>Covered</x:v>
      </x:c>
      <x:c r="V23" s="110" t="str"/>
      <x:c r="W23" s="110" t="str"/>
      <x:c r="X23" s="111" t="n">
        <x:f>COUNTA(K23:N23)/4</x:f>
        <x:v>1</x:v>
      </x:c>
      <x:c r="Y23" s="111" t="n">
        <x:f>COUNTA(F23:R23)/13</x:f>
        <x:v>1</x:v>
      </x:c>
      <x:c r="Z23" s="110" t="str">
        <x:f>IF(OR(U23="Gap",U23="Decision Required",S23="Critical",X23&lt;1,Y23&lt;1),"REVIEW","READY")</x:f>
        <x:v>READY</x:v>
      </x:c>
    </x:row>
    <x:row r="24" ht="64" customHeight="1">
      <x:c r="A24" s="110" t="str">
        <x:v>KNO-005</x:v>
      </x:c>
      <x:c r="B24" s="110" t="str">
        <x:v>Knowledge &amp; Disclosure</x:v>
      </x:c>
      <x:c r="C24" s="110" t="str">
        <x:v>Forecasts and stale information</x:v>
      </x:c>
      <x:c r="D24" s="110" t="str">
        <x:v>Mythic_Superhero_RPG_World_Constitution_v1.md — §23 Supply Forecasting; §24 Map Staleness; UX/UI Foundation §10.4</x:v>
      </x:c>
      <x:c r="E24" s="110" t="str">
        <x:v>When the entity or event becomes relevant to the active viewpoint.</x:v>
      </x:c>
      <x:c r="F24" s="110" t="str">
        <x:v>Assumptions, as-of time, confidence/uncertainty, and the inputs that would invalidate the estimate.</x:v>
      </x:c>
      <x:c r="G24" s="110" t="str">
        <x:v>Only observations, records, communications, and valid inferences in the active character's Knowledge Map.</x:v>
      </x:c>
      <x:c r="H24" s="110" t="str">
        <x:v>Unknown hazards, secret route changes, and inaccessible plans cannot appear as forecast certainty.</x:v>
      </x:c>
      <x:c r="I24" s="110" t="str">
        <x:v>Change assumptions, compare routes, verify, refresh, or proceed knowingly.</x:v>
      </x:c>
      <x:c r="J24" s="110" t="str">
        <x:v>Materially stale forecasts cannot be accepted as current without a visible warning.</x:v>
      </x:c>
      <x:c r="K24" s="110" t="str">
        <x:v>Forecast updates when known inputs change and remains distinct from a promise.</x:v>
      </x:c>
      <x:c r="L24" s="110" t="str">
        <x:v>Unavailable forecast states the missing accessible input instead of guessing.</x:v>
      </x:c>
      <x:c r="M24" s="110" t="str">
        <x:v>Show honest queued/loading/pending state; preserve the player's draft and current world version; do not imply completion.</x:v>
      </x:c>
      <x:c r="N24" s="110" t="str">
        <x:v>Stop or revalidate before commitment; identify the accessible state that changed; preserve intent; refresh the interpretation without leaking hidden causes.</x:v>
      </x:c>
      <x:c r="O24" s="110" t="str">
        <x:v>Event/record ID; campaign timestamp; state version; ruleset/tuning version where applicable; source/provenance; validator result; committed inputs and output.</x:v>
      </x:c>
      <x:c r="P24" s="110" t="str">
        <x:v>Keyboard and screen-reader operable; semantic status text; no hover, drag, motion, or color-only dependency; concise labels with expandable detail.</x:v>
      </x:c>
      <x:c r="Q24" s="110" t="str">
        <x:v>Context Lens</x:v>
      </x:c>
      <x:c r="R24" s="110" t="str">
        <x:v>Travel &amp; Survival</x:v>
      </x:c>
      <x:c r="S24" s="110" t="str">
        <x:v>High</x:v>
      </x:c>
      <x:c r="T24" s="110" t="str">
        <x:v>P0</x:v>
      </x:c>
      <x:c r="U24" s="110" t="str">
        <x:v>Covered</x:v>
      </x:c>
      <x:c r="V24" s="110" t="str"/>
      <x:c r="W24" s="110" t="str"/>
      <x:c r="X24" s="111" t="n">
        <x:f>COUNTA(K24:N24)/4</x:f>
        <x:v>1</x:v>
      </x:c>
      <x:c r="Y24" s="111" t="n">
        <x:f>COUNTA(F24:R24)/13</x:f>
        <x:v>1</x:v>
      </x:c>
      <x:c r="Z24" s="110" t="str">
        <x:f>IF(OR(U24="Gap",U24="Decision Required",S24="Critical",X24&lt;1,Y24&lt;1),"REVIEW","READY")</x:f>
        <x:v>READY</x:v>
      </x:c>
    </x:row>
    <x:row r="25" ht="64" customHeight="1">
      <x:c r="A25" s="110" t="str">
        <x:v>KNO-006</x:v>
      </x:c>
      <x:c r="B25" s="110" t="str">
        <x:v>Knowledge &amp; Disclosure</x:v>
      </x:c>
      <x:c r="C25" s="110" t="str">
        <x:v>Hidden Origin and sealed creation truth</x:v>
      </x:c>
      <x:c r="D25" s="110" t="str">
        <x:v>Mythic_Superhero_RPG_World_Constitution_v1.md — §11 Hidden-Origin Continuity</x:v>
      </x:c>
      <x:c r="E25" s="110" t="str">
        <x:v>Character creation, suspected evidence, discovery conditions, or authorized audit.</x:v>
      </x:c>
      <x:c r="F25" s="110" t="str">
        <x:v>Known or suspected beliefs, available evidence, and explicit uncertainty.</x:v>
      </x:c>
      <x:c r="G25" s="110" t="str">
        <x:v>The character knows only the selected Known/Suspected/Hidden presentation and later qualifying discoveries.</x:v>
      </x:c>
      <x:c r="H25" s="110" t="str">
        <x:v>Actual Source, Catalyst, responsible entities, and discovery conditions inside the sealed Truth Record.</x:v>
      </x:c>
      <x:c r="I25" s="110" t="str">
        <x:v>Choose hidden-origin mode, record beliefs, investigate, reject theories, or authorize later reveal where rules permit.</x:v>
      </x:c>
      <x:c r="J25" s="110" t="str">
        <x:v>Permanent origin reveal or rebuild requires an appropriate canonical event and player consent where identity-changing.</x:v>
      </x:c>
      <x:c r="K25" s="110" t="str">
        <x:v>The sealed truth cannot be retroactively replaced for drama.</x:v>
      </x:c>
      <x:c r="L25" s="110" t="str">
        <x:v>Discovery failure never invents a false answer unless actual deceptive evidence exists.</x:v>
      </x:c>
      <x:c r="M25" s="110" t="str">
        <x:v>Show honest queued/loading/pending state; preserve the player's draft and current world version; do not imply completion.</x:v>
      </x:c>
      <x:c r="N25" s="110" t="str">
        <x:v>Stop or revalidate before commitment; identify the accessible state that changed; preserve intent; refresh the interpretation without leaking hidden causes.</x:v>
      </x:c>
      <x:c r="O25" s="110" t="str">
        <x:v>Event/record ID; campaign timestamp; state version; ruleset/tuning version where applicable; source/provenance; validator result; committed inputs and output.</x:v>
      </x:c>
      <x:c r="P25" s="110" t="str">
        <x:v>Keyboard and screen-reader operable; semantic status text; no hover, drag, motion, or color-only dependency; concise labels with expandable detail.</x:v>
      </x:c>
      <x:c r="Q25" s="110" t="str">
        <x:v>Onboarding &amp; Creation</x:v>
      </x:c>
      <x:c r="R25" s="110" t="str">
        <x:v>Character</x:v>
      </x:c>
      <x:c r="S25" s="110" t="str">
        <x:v>Critical</x:v>
      </x:c>
      <x:c r="T25" s="110" t="str">
        <x:v>P0</x:v>
      </x:c>
      <x:c r="U25" s="110" t="str">
        <x:v>Covered</x:v>
      </x:c>
      <x:c r="V25" s="110" t="str"/>
      <x:c r="W25" s="110" t="str"/>
      <x:c r="X25" s="111" t="n">
        <x:f>COUNTA(K25:N25)/4</x:f>
        <x:v>1</x:v>
      </x:c>
      <x:c r="Y25" s="111" t="n">
        <x:f>COUNTA(F25:R25)/13</x:f>
        <x:v>1</x:v>
      </x:c>
      <x:c r="Z25" s="110" t="str">
        <x:f>IF(OR(U25="Gap",U25="Decision Required",S25="Critical",X25&lt;1,Y25&lt;1),"REVIEW","READY")</x:f>
        <x:v>REVIEW</x:v>
      </x:c>
    </x:row>
    <x:row r="26" ht="64" customHeight="1">
      <x:c r="A26" s="110" t="str">
        <x:v>KNO-007</x:v>
      </x:c>
      <x:c r="B26" s="110" t="str">
        <x:v>Knowledge &amp; Disclosure</x:v>
      </x:c>
      <x:c r="C26" s="110" t="str">
        <x:v>Secrets, hidden features, and completion uncertainty</x:v>
      </x:c>
      <x:c r="D26" s="110" t="str">
        <x:v>Mythic_Superhero_RPG_World_Constitution_v1.md — §25 Search/Fog; §26 Secrets and Completion</x:v>
      </x:c>
      <x:c r="E26" s="110" t="str">
        <x:v>When the entity or event becomes relevant to the active viewpoint.</x:v>
      </x:c>
      <x:c r="F26" s="110" t="str">
        <x:v>Only discovered features, accessible evidence, and timestamped assessments such as “cleared.”</x:v>
      </x:c>
      <x:c r="G26" s="110" t="str">
        <x:v>Only observations, records, communications, and valid inferences in the active character's Knowledge Map.</x:v>
      </x:c>
      <x:c r="H26" s="110" t="str">
        <x:v>Undiscovered feature count, total secrets, hidden topology, completion percentage based on canon.</x:v>
      </x:c>
      <x:c r="I26" s="110" t="str">
        <x:v>Search a declared scope, change method/access/sense, map, destroy, leave, or accept uncertainty.</x:v>
      </x:c>
      <x:c r="J26" s="110" t="str">
        <x:v>Destructive access confirms known evidence/topology risks.</x:v>
      </x:c>
      <x:c r="K26" s="110" t="str">
        <x:v>Missed content remains persistent and may stay undiscovered forever.</x:v>
      </x:c>
      <x:c r="L26" s="110" t="str">
        <x:v>A failed search spends time and reveals no hidden count or relocated clue.</x:v>
      </x:c>
      <x:c r="M26" s="110" t="str">
        <x:v>Show honest queued/loading/pending state; preserve the player's draft and current world version; do not imply completion.</x:v>
      </x:c>
      <x:c r="N26" s="110" t="str">
        <x:v>Stop or revalidate before commitment; identify the accessible state that changed; preserve intent; refresh the interpretation without leaking hidden causes.</x:v>
      </x:c>
      <x:c r="O26" s="110" t="str">
        <x:v>Event/record ID; campaign timestamp; state version; ruleset/tuning version where applicable; source/provenance; validator result; committed inputs and output.</x:v>
      </x:c>
      <x:c r="P26" s="110" t="str">
        <x:v>Keyboard and screen-reader operable; semantic status text; no hover, drag, motion, or color-only dependency; concise labels with expandable detail.</x:v>
      </x:c>
      <x:c r="Q26" s="110" t="str">
        <x:v>Exploration &amp; Site Map</x:v>
      </x:c>
      <x:c r="R26" s="110" t="str">
        <x:v>Case Graph &amp; Evidence</x:v>
      </x:c>
      <x:c r="S26" s="110" t="str">
        <x:v>Critical</x:v>
      </x:c>
      <x:c r="T26" s="110" t="str">
        <x:v>P0</x:v>
      </x:c>
      <x:c r="U26" s="110" t="str">
        <x:v>Covered</x:v>
      </x:c>
      <x:c r="V26" s="110" t="str"/>
      <x:c r="W26" s="110" t="str"/>
      <x:c r="X26" s="111" t="n">
        <x:f>COUNTA(K26:N26)/4</x:f>
        <x:v>1</x:v>
      </x:c>
      <x:c r="Y26" s="111" t="n">
        <x:f>COUNTA(F26:R26)/13</x:f>
        <x:v>1</x:v>
      </x:c>
      <x:c r="Z26" s="110" t="str">
        <x:f>IF(OR(U26="Gap",U26="Decision Required",S26="Critical",X26&lt;1,Y26&lt;1),"REVIEW","READY")</x:f>
        <x:v>REVIEW</x:v>
      </x:c>
    </x:row>
    <x:row r="27" ht="64" customHeight="1">
      <x:c r="A27" s="110" t="str">
        <x:v>KNO-008</x:v>
      </x:c>
      <x:c r="B27" s="110" t="str">
        <x:v>Knowledge &amp; Disclosure</x:v>
      </x:c>
      <x:c r="C27" s="110" t="str">
        <x:v>Case Graph, Claims, hypotheses, and evidence</x:v>
      </x:c>
      <x:c r="D27" s="110" t="str">
        <x:v>Mythic_Superhero_RPG_World_Constitution_v1.md — §25 Clues/Evidence/Analysis/Case Records</x:v>
      </x:c>
      <x:c r="E27" s="110" t="str">
        <x:v>When the entity or event becomes relevant to the active viewpoint.</x:v>
      </x:c>
      <x:c r="F27" s="110" t="str">
        <x:v>Questions, Claims, Evidence, sources, Leads, support/contradiction links, custody, missing information, and epistemic labels.</x:v>
      </x:c>
      <x:c r="G27" s="110" t="str">
        <x:v>Only observations, records, communications, and valid inferences in the active character's Knowledge Map.</x:v>
      </x:c>
      <x:c r="H27" s="110" t="str">
        <x:v>Correct culprit, canonical truth, inaccessible evidence, and private witness knowledge.</x:v>
      </x:c>
      <x:c r="I27" s="110" t="str">
        <x:v>Create, connect, revise, reject, annotate, test, share, preserve, destroy, or present hypotheses/evidence.</x:v>
      </x:c>
      <x:c r="J27" s="110" t="str">
        <x:v>Confirm destructive evidence handling and public/legal submission.</x:v>
      </x:c>
      <x:c r="K27" s="110" t="str">
        <x:v>Analysis yields only conclusions supported by accessible evidence and method.</x:v>
      </x:c>
      <x:c r="L27" s="110" t="str">
        <x:v>Raw observable facts and unresolved uncertainty remain; false conclusions require actual deceptive evidence.</x:v>
      </x:c>
      <x:c r="M27" s="110" t="str">
        <x:v>Show honest queued/loading/pending state; preserve the player's draft and current world version; do not imply completion.</x:v>
      </x:c>
      <x:c r="N27" s="110" t="str">
        <x:v>Stop or revalidate before commitment; identify the accessible state that changed; preserve intent; refresh the interpretation without leaking hidden causes.</x:v>
      </x:c>
      <x:c r="O27" s="110" t="str">
        <x:v>Event/record ID; campaign timestamp; state version; ruleset/tuning version where applicable; source/provenance; validator result; committed inputs and output.</x:v>
      </x:c>
      <x:c r="P27" s="110" t="str">
        <x:v>Keyboard and screen-reader operable; semantic status text; no hover, drag, motion, or color-only dependency; concise labels with expandable detail.</x:v>
      </x:c>
      <x:c r="Q27" s="110" t="str">
        <x:v>Case Graph &amp; Evidence</x:v>
      </x:c>
      <x:c r="R27" s="110" t="str">
        <x:v>Context Lens</x:v>
      </x:c>
      <x:c r="S27" s="110" t="str">
        <x:v>Critical</x:v>
      </x:c>
      <x:c r="T27" s="110" t="str">
        <x:v>P0</x:v>
      </x:c>
      <x:c r="U27" s="110" t="str">
        <x:v>Covered</x:v>
      </x:c>
      <x:c r="V27" s="110" t="str"/>
      <x:c r="W27" s="110" t="str"/>
      <x:c r="X27" s="111" t="n">
        <x:f>COUNTA(K27:N27)/4</x:f>
        <x:v>1</x:v>
      </x:c>
      <x:c r="Y27" s="111" t="n">
        <x:f>COUNTA(F27:R27)/13</x:f>
        <x:v>1</x:v>
      </x:c>
      <x:c r="Z27" s="110" t="str">
        <x:f>IF(OR(U27="Gap",U27="Decision Required",S27="Critical",X27&lt;1,Y27&lt;1),"REVIEW","READY")</x:f>
        <x:v>REVIEW</x:v>
      </x:c>
    </x:row>
    <x:row r="28" ht="64" customHeight="1">
      <x:c r="A28" s="110" t="str">
        <x:v>KNO-009</x:v>
      </x:c>
      <x:c r="B28" s="110" t="str">
        <x:v>Knowledge &amp; Disclosure</x:v>
      </x:c>
      <x:c r="C28" s="110" t="str">
        <x:v>Information sharing and merged party knowledge</x:v>
      </x:c>
      <x:c r="D28" s="110" t="str">
        <x:v>Mythic_Superhero_RPG_World_Constitution_v1.md — §25 Information Sharing; §27 Split Parties</x:v>
      </x:c>
      <x:c r="E28" s="110" t="str">
        <x:v>When a character communicates, synchronizes maps, shares evidence, or rejoins the party.</x:v>
      </x:c>
      <x:c r="F28" s="110" t="str">
        <x:v>Sender, recipients, channel, content form, delivery status, and provenance.</x:v>
      </x:c>
      <x:c r="G28" s="110" t="str">
        <x:v>Only observations, records, communications, and valid inferences in the active character's Knowledge Map.</x:v>
      </x:c>
      <x:c r="H28" s="110" t="str">
        <x:v>Unshared private discoveries and failed/intercepted communications outside the viewpoint.</x:v>
      </x:c>
      <x:c r="I28" s="110" t="str">
        <x:v>Share original, copy, summary, interpretation, lie, partial disclosure, or nothing.</x:v>
      </x:c>
      <x:c r="J28" s="110" t="str">
        <x:v>Confirm secret disclosure or publication with known relationship/legal consequences.</x:v>
      </x:c>
      <x:c r="K28" s="110" t="str">
        <x:v>Only actual recipients gain the communicated packet.</x:v>
      </x:c>
      <x:c r="L28" s="110" t="str">
        <x:v>A merged party map never updates from uncommunicated private observations.</x:v>
      </x:c>
      <x:c r="M28" s="110" t="str">
        <x:v>Show honest queued/loading/pending state; preserve the player's draft and current world version; do not imply completion.</x:v>
      </x:c>
      <x:c r="N28" s="110" t="str">
        <x:v>Stop or revalidate before commitment; identify the accessible state that changed; preserve intent; refresh the interpretation without leaking hidden causes.</x:v>
      </x:c>
      <x:c r="O28" s="110" t="str">
        <x:v>Event/record ID; campaign timestamp; state version; ruleset/tuning version where applicable; source/provenance; validator result; committed inputs and output.</x:v>
      </x:c>
      <x:c r="P28" s="110" t="str">
        <x:v>Keyboard and screen-reader operable; semantic status text; no hover, drag, motion, or color-only dependency; concise labels with expandable detail.</x:v>
      </x:c>
      <x:c r="Q28" s="110" t="str">
        <x:v>Party &amp; Relationships</x:v>
      </x:c>
      <x:c r="R28" s="110" t="str">
        <x:v>Case Graph &amp; Evidence</x:v>
      </x:c>
      <x:c r="S28" s="110" t="str">
        <x:v>Critical</x:v>
      </x:c>
      <x:c r="T28" s="110" t="str">
        <x:v>P0</x:v>
      </x:c>
      <x:c r="U28" s="110" t="str">
        <x:v>Covered</x:v>
      </x:c>
      <x:c r="V28" s="110" t="str"/>
      <x:c r="W28" s="110" t="str"/>
      <x:c r="X28" s="111" t="n">
        <x:f>COUNTA(K28:N28)/4</x:f>
        <x:v>1</x:v>
      </x:c>
      <x:c r="Y28" s="111" t="n">
        <x:f>COUNTA(F28:R28)/13</x:f>
        <x:v>1</x:v>
      </x:c>
      <x:c r="Z28" s="110" t="str">
        <x:f>IF(OR(U28="Gap",U28="Decision Required",S28="Critical",X28&lt;1,Y28&lt;1),"REVIEW","READY")</x:f>
        <x:v>REVIEW</x:v>
      </x:c>
    </x:row>
    <x:row r="29" ht="64" customHeight="1">
      <x:c r="A29" s="110" t="str">
        <x:v>CHR-001</x:v>
      </x:c>
      <x:c r="B29" s="110" t="str">
        <x:v>Onboarding &amp; Character</x:v>
      </x:c>
      <x:c r="C29" s="110" t="str">
        <x:v>Issue #0 choice and first launch</x:v>
      </x:c>
      <x:c r="D29" s="110" t="str">
        <x:v>Mythic_Superhero_RPG_World_Constitution_v1.md — §32 First Launch; Issue #0 Viewing Options</x:v>
      </x:c>
      <x:c r="E29" s="110" t="str">
        <x:v>First launch or later voluntary access to the prologue.</x:v>
      </x:c>
      <x:c r="F29" s="110" t="str">
        <x:v>Read, accessible reader, audio-described, illustrated summary, text primer, defer, and skip options with equal gameplay consequence.</x:v>
      </x:c>
      <x:c r="G29" s="110" t="str">
        <x:v>Only observations, records, communications, and valid inferences in the active character's Knowledge Map.</x:v>
      </x:c>
      <x:c r="H29" s="110" t="str">
        <x:v>Issue content unavailable due loading failure must not block play; reader knowledge does not enter character knowledge.</x:v>
      </x:c>
      <x:c r="I29" s="110" t="str">
        <x:v>Choose any mode, defer, skip, change accessibility/content settings, or proceed to creation.</x:v>
      </x:c>
      <x:c r="J29" s="110" t="str">
        <x:v>No forced reading; sensitive presentation preferences require explicit selection.</x:v>
      </x:c>
      <x:c r="K29" s="110" t="str">
        <x:v>Meaningful player choice appears within ninety seconds.</x:v>
      </x:c>
      <x:c r="L29" s="110" t="str">
        <x:v>If the comic asset is unavailable, accessible summary and game start remain available.</x:v>
      </x:c>
      <x:c r="M29" s="110" t="str">
        <x:v>Show honest queued/loading/pending state; preserve the player's draft and current world version; do not imply completion.</x:v>
      </x:c>
      <x:c r="N29" s="110" t="str">
        <x:v>Stop or revalidate before commitment; identify the accessible state that changed; preserve intent; refresh the interpretation without leaking hidden causes.</x:v>
      </x:c>
      <x:c r="O29" s="110" t="str">
        <x:v>Event/record ID; campaign timestamp; state version; ruleset/tuning version where applicable; source/provenance; validator result; committed inputs and output.</x:v>
      </x:c>
      <x:c r="P29" s="110" t="str">
        <x:v>Keyboard and screen-reader operable; semantic status text; no hover, drag, motion, or color-only dependency; concise labels with expandable detail.</x:v>
      </x:c>
      <x:c r="Q29" s="110" t="str">
        <x:v>Onboarding &amp; Creation</x:v>
      </x:c>
      <x:c r="R29" s="110" t="str">
        <x:v>Settings &amp; Accessibility</x:v>
      </x:c>
      <x:c r="S29" s="110" t="str">
        <x:v>Critical</x:v>
      </x:c>
      <x:c r="T29" s="110" t="str">
        <x:v>P0</x:v>
      </x:c>
      <x:c r="U29" s="110" t="str">
        <x:v>Gap</x:v>
      </x:c>
      <x:c r="V29" s="110" t="str">
        <x:v>GAP-015</x:v>
      </x:c>
      <x:c r="W29" s="110" t="str"/>
      <x:c r="X29" s="111" t="n">
        <x:f>COUNTA(K29:N29)/4</x:f>
        <x:v>1</x:v>
      </x:c>
      <x:c r="Y29" s="111" t="n">
        <x:f>COUNTA(F29:R29)/13</x:f>
        <x:v>1</x:v>
      </x:c>
      <x:c r="Z29" s="110" t="str">
        <x:f>IF(OR(U29="Gap",U29="Decision Required",S29="Critical",X29&lt;1,Y29&lt;1),"REVIEW","READY")</x:f>
        <x:v>REVIEW</x:v>
      </x:c>
    </x:row>
    <x:row r="30" ht="64" customHeight="1">
      <x:c r="A30" s="110" t="str">
        <x:v>CHR-002</x:v>
      </x:c>
      <x:c r="B30" s="110" t="str">
        <x:v>Onboarding &amp; Character</x:v>
      </x:c>
      <x:c r="C30" s="110" t="str">
        <x:v>Character-creation modes</x:v>
      </x:c>
      <x:c r="D30" s="110" t="str">
        <x:v>Mythic_Superhero_RPG_World_Constitution_v1.md — §11 Creation Modes; §32 Onboarding Modes</x:v>
      </x:c>
      <x:c r="E30" s="110" t="str">
        <x:v>When the entity or event becomes relevant to the active viewpoint.</x:v>
      </x:c>
      <x:c r="F30" s="110" t="str">
        <x:v>Quick Start, Guided, Freeform, Expert, Fate-Born, Narrative Awakening, Returning, and Practice Sandbox with tradeoffs and saved progress.</x:v>
      </x:c>
      <x:c r="G30" s="110" t="str">
        <x:v>Only observations, records, communications, and valid inferences in the active character's Knowledge Map.</x:v>
      </x:c>
      <x:c r="H30" s="110" t="str">
        <x:v>No mode receives secret budget advantages or preset canon not disclosed in review.</x:v>
      </x:c>
      <x:c r="I30" s="110" t="str">
        <x:v>Select/switch mode; preserve confirmed choices; inspect full record; pause/resume.</x:v>
      </x:c>
      <x:c r="J30" s="110" t="str">
        <x:v>Mode switches confirm only choices that cannot translate cleanly; never discard silently.</x:v>
      </x:c>
      <x:c r="K30" s="110" t="str">
        <x:v>Every mode produces the same validated record and budget.</x:v>
      </x:c>
      <x:c r="L30" s="110" t="str">
        <x:v>Invalid or interrupted creation retains confirmed stages and identifies exact missing decisions.</x:v>
      </x:c>
      <x:c r="M30" s="110" t="str">
        <x:v>Show honest queued/loading/pending state; preserve the player's draft and current world version; do not imply completion.</x:v>
      </x:c>
      <x:c r="N30" s="110" t="str">
        <x:v>Stop or revalidate before commitment; identify the accessible state that changed; preserve intent; refresh the interpretation without leaking hidden causes.</x:v>
      </x:c>
      <x:c r="O30" s="110" t="str">
        <x:v>Event/record ID; campaign timestamp; state version; ruleset/tuning version where applicable; source/provenance; validator result; committed inputs and output.</x:v>
      </x:c>
      <x:c r="P30" s="110" t="str">
        <x:v>Keyboard and screen-reader operable; semantic status text; no hover, drag, motion, or color-only dependency; concise labels with expandable detail.</x:v>
      </x:c>
      <x:c r="Q30" s="110" t="str">
        <x:v>Onboarding &amp; Creation</x:v>
      </x:c>
      <x:c r="R30" s="110" t="str">
        <x:v>Character</x:v>
      </x:c>
      <x:c r="S30" s="110" t="str">
        <x:v>High</x:v>
      </x:c>
      <x:c r="T30" s="110" t="str">
        <x:v>P0</x:v>
      </x:c>
      <x:c r="U30" s="110" t="str">
        <x:v>Covered</x:v>
      </x:c>
      <x:c r="V30" s="110" t="str"/>
      <x:c r="W30" s="110" t="str"/>
      <x:c r="X30" s="111" t="n">
        <x:f>COUNTA(K30:N30)/4</x:f>
        <x:v>1</x:v>
      </x:c>
      <x:c r="Y30" s="111" t="n">
        <x:f>COUNTA(F30:R30)/13</x:f>
        <x:v>1</x:v>
      </x:c>
      <x:c r="Z30" s="110" t="str">
        <x:f>IF(OR(U30="Gap",U30="Decision Required",S30="Critical",X30&lt;1,Y30&lt;1),"REVIEW","READY")</x:f>
        <x:v>READY</x:v>
      </x:c>
    </x:row>
    <x:row r="31" ht="64" customHeight="1">
      <x:c r="A31" s="110" t="str">
        <x:v>CHR-003</x:v>
      </x:c>
      <x:c r="B31" s="110" t="str">
        <x:v>Onboarding &amp; Character</x:v>
      </x:c>
      <x:c r="C31" s="110" t="str">
        <x:v>Freeform concept compilation</x:v>
      </x:c>
      <x:c r="D31" s="110" t="str">
        <x:v>Mythic_Superhero_RPG_World_Constitution_v1.md — §11 Creation Modes/Origin; §33 Power Constitution</x:v>
      </x:c>
      <x:c r="E31" s="110" t="str">
        <x:v>Player describes any coherent or absurd character concept.</x:v>
      </x:c>
      <x:c r="F31" s="110" t="str">
        <x:v>Translated Sources, Domains, Expressions, Techniques, limitations, visual signatures, costs, and identified interpretation choices.</x:v>
      </x:c>
      <x:c r="G31" s="110" t="str">
        <x:v>Only observations, records, communications, and valid inferences in the active character's Knowledge Map.</x:v>
      </x:c>
      <x:c r="H31" s="110" t="str">
        <x:v>No secret weakness, history, morality, relationship, or power may be added by the AI.</x:v>
      </x:c>
      <x:c r="I31" s="110" t="str">
        <x:v>Accept, revise concept, adjust budget, preserve flavor, compare legal repairs, or switch modes.</x:v>
      </x:c>
      <x:c r="J31" s="110" t="str">
        <x:v>Every permanent interpretation and BP purchase is reviewed before Campaign Commit.</x:v>
      </x:c>
      <x:c r="K31" s="110" t="str">
        <x:v>Absurdity is treated as canon and priced through the same rules.</x:v>
      </x:c>
      <x:c r="L31" s="110" t="str">
        <x:v>Invalid construction identifies the exact constraint and offers concept-preserving legal repairs.</x:v>
      </x:c>
      <x:c r="M31" s="110" t="str">
        <x:v>Show honest queued/loading/pending state; preserve the player's draft and current world version; do not imply completion.</x:v>
      </x:c>
      <x:c r="N31" s="110" t="str">
        <x:v>Stop or revalidate before commitment; identify the accessible state that changed; preserve intent; refresh the interpretation without leaking hidden causes.</x:v>
      </x:c>
      <x:c r="O31" s="110" t="str">
        <x:v>Event/record ID; campaign timestamp; state version; ruleset/tuning version where applicable; source/provenance; validator result; committed inputs and output.</x:v>
      </x:c>
      <x:c r="P31" s="110" t="str">
        <x:v>Keyboard and screen-reader operable; semantic status text; no hover, drag, motion, or color-only dependency; concise labels with expandable detail.</x:v>
      </x:c>
      <x:c r="Q31" s="110" t="str">
        <x:v>Onboarding &amp; Creation</x:v>
      </x:c>
      <x:c r="R31" s="110" t="str">
        <x:v>Character</x:v>
      </x:c>
      <x:c r="S31" s="110" t="str">
        <x:v>Critical</x:v>
      </x:c>
      <x:c r="T31" s="110" t="str">
        <x:v>P0</x:v>
      </x:c>
      <x:c r="U31" s="110" t="str">
        <x:v>Covered</x:v>
      </x:c>
      <x:c r="V31" s="110" t="str"/>
      <x:c r="W31" s="110" t="str"/>
      <x:c r="X31" s="111" t="n">
        <x:f>COUNTA(K31:N31)/4</x:f>
        <x:v>1</x:v>
      </x:c>
      <x:c r="Y31" s="111" t="n">
        <x:f>COUNTA(F31:R31)/13</x:f>
        <x:v>1</x:v>
      </x:c>
      <x:c r="Z31" s="110" t="str">
        <x:f>IF(OR(U31="Gap",U31="Decision Required",S31="Critical",X31&lt;1,Y31&lt;1),"REVIEW","READY")</x:f>
        <x:v>REVIEW</x:v>
      </x:c>
    </x:row>
    <x:row r="32" ht="64" customHeight="1">
      <x:c r="A32" s="110" t="str">
        <x:v>CHR-004</x:v>
      </x:c>
      <x:c r="B32" s="110" t="str">
        <x:v>Onboarding &amp; Character</x:v>
      </x:c>
      <x:c r="C32" s="110" t="str">
        <x:v>Attribute and Build Point ledger</x:v>
      </x:c>
      <x:c r="D32" s="110" t="str">
        <x:v>Mythic_Superhero_RPG_World_Constitution_v1.md — §10 BP; §11 Build Point/Attribute Creation; §12 Mastery; §13 Talents</x:v>
      </x:c>
      <x:c r="E32" s="110" t="str">
        <x:v>When the entity or event becomes relevant to the active viewpoint.</x:v>
      </x:c>
      <x:c r="F32" s="110" t="str">
        <x:v>Starting budget, purchases, refunds, prerequisites, level/tier gates, unspent BP, and every derived total.</x:v>
      </x:c>
      <x:c r="G32" s="110" t="str">
        <x:v>Only observations, records, communications, and valid inferences in the active character's Knowledge Map.</x:v>
      </x:c>
      <x:c r="H32" s="110" t="str">
        <x:v>No silent spending or hidden package bonuses.</x:v>
      </x:c>
      <x:c r="I32" s="110" t="str">
        <x:v>Allocate, undo before commit, compare, save draft, validate, use recommended distribution, or bank eligible points.</x:v>
      </x:c>
      <x:c r="J32" s="110" t="str">
        <x:v>Campaign Commit confirms the complete ledger; later spending occurs only at a valid checkpoint.</x:v>
      </x:c>
      <x:c r="K32" s="110" t="str">
        <x:v>Totals reconcile across all creation modes and templates.</x:v>
      </x:c>
      <x:c r="L32" s="110" t="str">
        <x:v>Exact budget/prerequisite conflict is highlighted without replacing the concept.</x:v>
      </x:c>
      <x:c r="M32" s="110" t="str">
        <x:v>Show honest queued/loading/pending state; preserve the player's draft and current world version; do not imply completion.</x:v>
      </x:c>
      <x:c r="N32" s="110" t="str">
        <x:v>Stop or revalidate before commitment; identify the accessible state that changed; preserve intent; refresh the interpretation without leaking hidden causes.</x:v>
      </x:c>
      <x:c r="O32" s="110" t="str">
        <x:v>Event/record ID; campaign timestamp; state version; ruleset/tuning version where applicable; source/provenance; validator result; committed inputs and output.</x:v>
      </x:c>
      <x:c r="P32" s="110" t="str">
        <x:v>Keyboard and screen-reader operable; semantic status text; no hover, drag, motion, or color-only dependency; concise labels with expandable detail.</x:v>
      </x:c>
      <x:c r="Q32" s="110" t="str">
        <x:v>Onboarding &amp; Creation</x:v>
      </x:c>
      <x:c r="R32" s="110" t="str">
        <x:v>Character</x:v>
      </x:c>
      <x:c r="S32" s="110" t="str">
        <x:v>Critical</x:v>
      </x:c>
      <x:c r="T32" s="110" t="str">
        <x:v>P0</x:v>
      </x:c>
      <x:c r="U32" s="110" t="str">
        <x:v>Covered</x:v>
      </x:c>
      <x:c r="V32" s="110" t="str"/>
      <x:c r="W32" s="110" t="str"/>
      <x:c r="X32" s="111" t="n">
        <x:f>COUNTA(K32:N32)/4</x:f>
        <x:v>1</x:v>
      </x:c>
      <x:c r="Y32" s="111" t="n">
        <x:f>COUNTA(F32:R32)/13</x:f>
        <x:v>1</x:v>
      </x:c>
      <x:c r="Z32" s="110" t="str">
        <x:f>IF(OR(U32="Gap",U32="Decision Required",S32="Critical",X32&lt;1,Y32&lt;1),"REVIEW","READY")</x:f>
        <x:v>REVIEW</x:v>
      </x:c>
    </x:row>
    <x:row r="33" ht="64" customHeight="1">
      <x:c r="A33" s="110" t="str">
        <x:v>CHR-005</x:v>
      </x:c>
      <x:c r="B33" s="110" t="str">
        <x:v>Onboarding &amp; Character</x:v>
      </x:c>
      <x:c r="C33" s="110" t="str">
        <x:v>Campaign Commit</x:v>
      </x:c>
      <x:c r="D33" s="110" t="str">
        <x:v>Mythic_Superhero_RPG_World_Constitution_v1.md — §32 First-Launch Sequence and Saving</x:v>
      </x:c>
      <x:c r="E33" s="110" t="str">
        <x:v>After complete character, visual, inventory, relationship, knowledge, content, and accessibility review.</x:v>
      </x:c>
      <x:c r="F33" s="110" t="str">
        <x:v>Complete record, BP ledger, appearance v1, starting custody, known facts, role/entry, and irreversible boundary.</x:v>
      </x:c>
      <x:c r="G33" s="110" t="str">
        <x:v>Only observations, records, communications, and valid inferences in the active character's Knowledge Map.</x:v>
      </x:c>
      <x:c r="H33" s="110" t="str">
        <x:v>No undisclosed origin truth beyond explicitly chosen Hidden Origin; no future plot or engine-only canon.</x:v>
      </x:c>
      <x:c r="I33" s="110" t="str">
        <x:v>Commit, return to any editable section, save draft, or cancel.</x:v>
      </x:c>
      <x:c r="J33" s="110" t="str">
        <x:v>Explicit final confirmation creates canonical snapshot and first recoverable save.</x:v>
      </x:c>
      <x:c r="K33" s="110" t="str">
        <x:v>Character becomes versioned canon and enters BREAKWATER at Day 0, 18:00.</x:v>
      </x:c>
      <x:c r="L33" s="110" t="str">
        <x:v>Validation lists all blocking conflicts; nothing partially commits.</x:v>
      </x:c>
      <x:c r="M33" s="110" t="str">
        <x:v>Show honest queued/loading/pending state; preserve the player's draft and current world version; do not imply completion.</x:v>
      </x:c>
      <x:c r="N33" s="110" t="str">
        <x:v>Stop or revalidate before commitment; identify the accessible state that changed; preserve intent; refresh the interpretation without leaking hidden causes.</x:v>
      </x:c>
      <x:c r="O33" s="110" t="str">
        <x:v>Event/record ID; campaign timestamp; state version; ruleset/tuning version where applicable; source/provenance; validator result; committed inputs and output.</x:v>
      </x:c>
      <x:c r="P33" s="110" t="str">
        <x:v>Keyboard and screen-reader operable; semantic status text; no hover, drag, motion, or color-only dependency; concise labels with expandable detail.</x:v>
      </x:c>
      <x:c r="Q33" s="110" t="str">
        <x:v>Onboarding &amp; Creation</x:v>
      </x:c>
      <x:c r="R33" s="110" t="str">
        <x:v>Home &amp; Recovery</x:v>
      </x:c>
      <x:c r="S33" s="110" t="str">
        <x:v>Critical</x:v>
      </x:c>
      <x:c r="T33" s="110" t="str">
        <x:v>P0</x:v>
      </x:c>
      <x:c r="U33" s="110" t="str">
        <x:v>Covered</x:v>
      </x:c>
      <x:c r="V33" s="110" t="str"/>
      <x:c r="W33" s="110" t="str"/>
      <x:c r="X33" s="111" t="n">
        <x:f>COUNTA(K33:N33)/4</x:f>
        <x:v>1</x:v>
      </x:c>
      <x:c r="Y33" s="111" t="n">
        <x:f>COUNTA(F33:R33)/13</x:f>
        <x:v>1</x:v>
      </x:c>
      <x:c r="Z33" s="110" t="str">
        <x:f>IF(OR(U33="Gap",U33="Decision Required",S33="Critical",X33&lt;1,Y33&lt;1),"REVIEW","READY")</x:f>
        <x:v>REVIEW</x:v>
      </x:c>
    </x:row>
    <x:row r="34" ht="64" customHeight="1">
      <x:c r="A34" s="110" t="str">
        <x:v>CHR-006</x:v>
      </x:c>
      <x:c r="B34" s="110" t="str">
        <x:v>Onboarding &amp; Character</x:v>
      </x:c>
      <x:c r="C34" s="110" t="str">
        <x:v>Origin, Background, Archetype, role, identity, and morality independence</x:v>
      </x:c>
      <x:c r="D34" s="110" t="str">
        <x:v>Mythic_Superhero_RPG_World_Constitution_v1.md — §11 Character Creation Architecture</x:v>
      </x:c>
      <x:c r="E34" s="110" t="str">
        <x:v>When the entity or event becomes relevant to the active viewpoint.</x:v>
      </x:c>
      <x:c r="F34" s="110" t="str">
        <x:v>Each dimension, its separate mechanical/social meaning, and any genuine incompatibility.</x:v>
      </x:c>
      <x:c r="G34" s="110" t="str">
        <x:v>Only observations, records, communications, and valid inferences in the active character's Knowledge Map.</x:v>
      </x:c>
      <x:c r="H34" s="110" t="str">
        <x:v>No UI grouping may imply class lock, moral destiny, or storyline role.</x:v>
      </x:c>
      <x:c r="I34" s="110" t="str">
        <x:v>Mix legal dimensions, change public role, choose morality, create hybrid packages, or remain disputed/unknown.</x:v>
      </x:c>
      <x:c r="J34" s="110" t="str">
        <x:v>Confirm each permanent package purchase and starting history anchor.</x:v>
      </x:c>
      <x:c r="K34" s="110" t="str">
        <x:v>Hero, outlaw, and survivor entries remain available when history permits.</x:v>
      </x:c>
      <x:c r="L34" s="110" t="str">
        <x:v>The interface explains the actual conflict rather than imposing an archetype stereotype.</x:v>
      </x:c>
      <x:c r="M34" s="110" t="str">
        <x:v>Show honest queued/loading/pending state; preserve the player's draft and current world version; do not imply completion.</x:v>
      </x:c>
      <x:c r="N34" s="110" t="str">
        <x:v>Stop or revalidate before commitment; identify the accessible state that changed; preserve intent; refresh the interpretation without leaking hidden causes.</x:v>
      </x:c>
      <x:c r="O34" s="110" t="str">
        <x:v>Event/record ID; campaign timestamp; state version; ruleset/tuning version where applicable; source/provenance; validator result; committed inputs and output.</x:v>
      </x:c>
      <x:c r="P34" s="110" t="str">
        <x:v>Keyboard and screen-reader operable; semantic status text; no hover, drag, motion, or color-only dependency; concise labels with expandable detail.</x:v>
      </x:c>
      <x:c r="Q34" s="110" t="str">
        <x:v>Onboarding &amp; Creation</x:v>
      </x:c>
      <x:c r="R34" s="110" t="str">
        <x:v>Character</x:v>
      </x:c>
      <x:c r="S34" s="110" t="str">
        <x:v>High</x:v>
      </x:c>
      <x:c r="T34" s="110" t="str">
        <x:v>P0</x:v>
      </x:c>
      <x:c r="U34" s="110" t="str">
        <x:v>Covered</x:v>
      </x:c>
      <x:c r="V34" s="110" t="str"/>
      <x:c r="W34" s="110" t="str"/>
      <x:c r="X34" s="111" t="n">
        <x:f>COUNTA(K34:N34)/4</x:f>
        <x:v>1</x:v>
      </x:c>
      <x:c r="Y34" s="111" t="n">
        <x:f>COUNTA(F34:R34)/13</x:f>
        <x:v>1</x:v>
      </x:c>
      <x:c r="Z34" s="110" t="str">
        <x:f>IF(OR(U34="Gap",U34="Decision Required",S34="Critical",X34&lt;1,Y34&lt;1),"REVIEW","READY")</x:f>
        <x:v>READY</x:v>
      </x:c>
    </x:row>
    <x:row r="35" ht="64" customHeight="1">
      <x:c r="A35" s="110" t="str">
        <x:v>CHR-007</x:v>
      </x:c>
      <x:c r="B35" s="110" t="str">
        <x:v>Onboarding &amp; Character</x:v>
      </x:c>
      <x:c r="C35" s="110" t="str">
        <x:v>Ordinary survivor and optional Awakening</x:v>
      </x:c>
      <x:c r="D35" s="110" t="str">
        <x:v>Mythic_Superhero_RPG_World_Constitution_v1.md — §11 Latent/Unawakened; §32 Narrative Awakening</x:v>
      </x:c>
      <x:c r="E35" s="110" t="str">
        <x:v>When the entity or event becomes relevant to the active viewpoint.</x:v>
      </x:c>
      <x:c r="F35" s="110" t="str">
        <x:v>Mundane Potential features, current catalyst evidence, optional conversion possibilities, and explicit consent boundary.</x:v>
      </x:c>
      <x:c r="G35" s="110" t="str">
        <x:v>Only observations, records, communications, and valid inferences in the active character's Knowledge Map.</x:v>
      </x:c>
      <x:c r="H35" s="110" t="str">
        <x:v>Latent Source or Catalyst may remain sealed when chosen; AI cannot choose permanent powers.</x:v>
      </x:c>
      <x:c r="I35" s="110" t="str">
        <x:v>Remain mundane, investigate, reject an Awakening, defer, or choose how eligible Potential converts.</x:v>
      </x:c>
      <x:c r="J35" s="110" t="str">
        <x:v>Every permanent power-set conversion requires player consent.</x:v>
      </x:c>
      <x:c r="K35" s="110" t="str">
        <x:v>Ordinary-survivor play remains fully supported without accepting an Awakening.</x:v>
      </x:c>
      <x:c r="L35" s="110" t="str">
        <x:v>Refusal creates no penalty, missing item, or blocked campaign route.</x:v>
      </x:c>
      <x:c r="M35" s="110" t="str">
        <x:v>Show honest queued/loading/pending state; preserve the player's draft and current world version; do not imply completion.</x:v>
      </x:c>
      <x:c r="N35" s="110" t="str">
        <x:v>Stop or revalidate before commitment; identify the accessible state that changed; preserve intent; refresh the interpretation without leaking hidden causes.</x:v>
      </x:c>
      <x:c r="O35" s="110" t="str">
        <x:v>Event/record ID; campaign timestamp; state version; ruleset/tuning version where applicable; source/provenance; validator result; committed inputs and output.</x:v>
      </x:c>
      <x:c r="P35" s="110" t="str">
        <x:v>Keyboard and screen-reader operable; semantic status text; no hover, drag, motion, or color-only dependency; concise labels with expandable detail.</x:v>
      </x:c>
      <x:c r="Q35" s="110" t="str">
        <x:v>Character</x:v>
      </x:c>
      <x:c r="R35" s="110" t="str">
        <x:v>Living Stage</x:v>
      </x:c>
      <x:c r="S35" s="110" t="str">
        <x:v>Critical</x:v>
      </x:c>
      <x:c r="T35" s="110" t="str">
        <x:v>P0</x:v>
      </x:c>
      <x:c r="U35" s="110" t="str">
        <x:v>Covered</x:v>
      </x:c>
      <x:c r="V35" s="110" t="str"/>
      <x:c r="W35" s="110" t="str"/>
      <x:c r="X35" s="111" t="n">
        <x:f>COUNTA(K35:N35)/4</x:f>
        <x:v>1</x:v>
      </x:c>
      <x:c r="Y35" s="111" t="n">
        <x:f>COUNTA(F35:R35)/13</x:f>
        <x:v>1</x:v>
      </x:c>
      <x:c r="Z35" s="110" t="str">
        <x:f>IF(OR(U35="Gap",U35="Decision Required",S35="Critical",X35&lt;1,Y35&lt;1),"REVIEW","READY")</x:f>
        <x:v>REVIEW</x:v>
      </x:c>
    </x:row>
    <x:row r="36" ht="64" customHeight="1">
      <x:c r="A36" s="110" t="str">
        <x:v>CHR-008</x:v>
      </x:c>
      <x:c r="B36" s="110" t="str">
        <x:v>Progression &amp; Identity</x:v>
      </x:c>
      <x:c r="C36" s="110" t="str">
        <x:v>XP awards, sources, contribution, and repetition</x:v>
      </x:c>
      <x:c r="D36" s="110" t="str">
        <x:v>Mythic_Superhero_RPG_World_Constitution_v1.md — §10 XP Curve/Universal XP/Grinding</x:v>
      </x:c>
      <x:c r="E36" s="110" t="str">
        <x:v>When the entity or event becomes relevant to the active viewpoint.</x:v>
      </x:c>
      <x:c r="F36" s="110" t="str">
        <x:v>Award source, Rating, scope, contribution, repetition multiplier, distinct stacked achievements, total, and level progress.</x:v>
      </x:c>
      <x:c r="G36" s="110" t="str">
        <x:v>Only observations, records, communications, and valid inferences in the active character's Knowledge Map.</x:v>
      </x:c>
      <x:c r="H36" s="110" t="str">
        <x:v>No invisible bonus for moral preference or narrator-desired pacing.</x:v>
      </x:c>
      <x:c r="I36" s="110" t="str">
        <x:v>Inspect provenance, compare progress, review repetition key, or dispute a calculation through support—not alter committed facts.</x:v>
      </x:c>
      <x:c r="J36" s="110" t="str">
        <x:v>No confirmation for earned XP; duplicate/exploit rejection is explained.</x:v>
      </x:c>
      <x:c r="K36" s="110" t="str">
        <x:v>Combat, exploration, objective, creation, survival, training, morality, and Complication awards remain comparable and auditable.</x:v>
      </x:c>
      <x:c r="L36" s="110" t="str">
        <x:v>Self-manufactured exploits show zero return; legitimate grinding retains nonzero diminished return.</x:v>
      </x:c>
      <x:c r="M36" s="110" t="str">
        <x:v>Show honest queued/loading/pending state; preserve the player's draft and current world version; do not imply completion.</x:v>
      </x:c>
      <x:c r="N36" s="110" t="str">
        <x:v>Stop or revalidate before commitment; identify the accessible state that changed; preserve intent; refresh the interpretation without leaking hidden causes.</x:v>
      </x:c>
      <x:c r="O36" s="110" t="str">
        <x:v>Event/record ID; campaign timestamp; state version; ruleset/tuning version where applicable; source/provenance; validator result; committed inputs and output.</x:v>
      </x:c>
      <x:c r="P36" s="110" t="str">
        <x:v>Keyboard and screen-reader operable; semantic status text; no hover, drag, motion, or color-only dependency; concise labels with expandable detail.</x:v>
      </x:c>
      <x:c r="Q36" s="110" t="str">
        <x:v>Character</x:v>
      </x:c>
      <x:c r="R36" s="110" t="str">
        <x:v>Chronicle &amp; Audit</x:v>
      </x:c>
      <x:c r="S36" s="110" t="str">
        <x:v>High</x:v>
      </x:c>
      <x:c r="T36" s="110" t="str">
        <x:v>P1</x:v>
      </x:c>
      <x:c r="U36" s="110" t="str">
        <x:v>Covered</x:v>
      </x:c>
      <x:c r="V36" s="110" t="str"/>
      <x:c r="W36" s="110" t="str"/>
      <x:c r="X36" s="111" t="n">
        <x:f>COUNTA(K36:N36)/4</x:f>
        <x:v>1</x:v>
      </x:c>
      <x:c r="Y36" s="111" t="n">
        <x:f>COUNTA(F36:R36)/13</x:f>
        <x:v>1</x:v>
      </x:c>
      <x:c r="Z36" s="110" t="str">
        <x:f>IF(OR(U36="Gap",U36="Decision Required",S36="Critical",X36&lt;1,Y36&lt;1),"REVIEW","READY")</x:f>
        <x:v>READY</x:v>
      </x:c>
    </x:row>
    <x:row r="37" ht="64" customHeight="1">
      <x:c r="A37" s="110" t="str">
        <x:v>CHR-009</x:v>
      </x:c>
      <x:c r="B37" s="110" t="str">
        <x:v>Progression &amp; Identity</x:v>
      </x:c>
      <x:c r="C37" s="110" t="str">
        <x:v>Level advancement, BP spending, training, and checkpoint</x:v>
      </x:c>
      <x:c r="D37" s="110" t="str">
        <x:v>Mythic_Superhero_RPG_World_Constitution_v1.md — §10 Level Rewards; §11 Validation; §12 Access</x:v>
      </x:c>
      <x:c r="E37" s="110" t="str">
        <x:v>Sufficient XP and a valid Advancement Checkpoint.</x:v>
      </x:c>
      <x:c r="F37" s="110" t="str">
        <x:v>Level, new BP/Attribute points, banked resources, prerequisites, training/access, recalculated maxima, and unchanged Wounds/conditions.</x:v>
      </x:c>
      <x:c r="G37" s="110" t="str">
        <x:v>Only observations, records, communications, and valid inferences in the active character's Knowledge Map.</x:v>
      </x:c>
      <x:c r="H37" s="110" t="str">
        <x:v>No silent heal, power, Mantle, or Authority grant.</x:v>
      </x:c>
      <x:c r="I37" s="110" t="str">
        <x:v>Spend, bank, compare, train, seek access, validate build, or leave checkpoint.</x:v>
      </x:c>
      <x:c r="J37" s="110" t="str">
        <x:v>Every purchase and resulting build version is explicitly confirmed.</x:v>
      </x:c>
      <x:c r="K37" s="110" t="str">
        <x:v>Advancement preserves consequences and creates an auditable character version.</x:v>
      </x:c>
      <x:c r="L37" s="110" t="str">
        <x:v>Invalid purchases remain drafts with exact repair options.</x:v>
      </x:c>
      <x:c r="M37" s="110" t="str">
        <x:v>Show honest queued/loading/pending state; preserve the player's draft and current world version; do not imply completion.</x:v>
      </x:c>
      <x:c r="N37" s="110" t="str">
        <x:v>Stop or revalidate before commitment; identify the accessible state that changed; preserve intent; refresh the interpretation without leaking hidden causes.</x:v>
      </x:c>
      <x:c r="O37" s="110" t="str">
        <x:v>Event/record ID; campaign timestamp; state version; ruleset/tuning version where applicable; source/provenance; validator result; committed inputs and output.</x:v>
      </x:c>
      <x:c r="P37" s="110" t="str">
        <x:v>Keyboard and screen-reader operable; semantic status text; no hover, drag, motion, or color-only dependency; concise labels with expandable detail.</x:v>
      </x:c>
      <x:c r="Q37" s="110" t="str">
        <x:v>Character</x:v>
      </x:c>
      <x:c r="R37" s="110" t="str">
        <x:v>Chronicle &amp; Audit</x:v>
      </x:c>
      <x:c r="S37" s="110" t="str">
        <x:v>Critical</x:v>
      </x:c>
      <x:c r="T37" s="110" t="str">
        <x:v>P1</x:v>
      </x:c>
      <x:c r="U37" s="110" t="str">
        <x:v>Covered</x:v>
      </x:c>
      <x:c r="V37" s="110" t="str"/>
      <x:c r="W37" s="110" t="str"/>
      <x:c r="X37" s="111" t="n">
        <x:f>COUNTA(K37:N37)/4</x:f>
        <x:v>1</x:v>
      </x:c>
      <x:c r="Y37" s="111" t="n">
        <x:f>COUNTA(F37:R37)/13</x:f>
        <x:v>1</x:v>
      </x:c>
      <x:c r="Z37" s="110" t="str">
        <x:f>IF(OR(U37="Gap",U37="Decision Required",S37="Critical",X37&lt;1,Y37&lt;1),"REVIEW","READY")</x:f>
        <x:v>REVIEW</x:v>
      </x:c>
    </x:row>
    <x:row r="38" ht="64" customHeight="1">
      <x:c r="A38" s="110" t="str">
        <x:v>CHR-010</x:v>
      </x:c>
      <x:c r="B38" s="110" t="str">
        <x:v>Progression &amp; Identity</x:v>
      </x:c>
      <x:c r="C38" s="110" t="str">
        <x:v>Power-Tier Breakthrough</x:v>
      </x:c>
      <x:c r="D38" s="110" t="str">
        <x:v>Mythic_Superhero_RPG_World_Constitution_v1.md — §10 Tier Gates and Breakthroughs</x:v>
      </x:c>
      <x:c r="E38" s="110" t="str">
        <x:v>When the entity or event becomes relevant to the active viewpoint.</x:v>
      </x:c>
      <x:c r="F38" s="110" t="str">
        <x:v>XP readiness, target tier, Integration or Trial route, time/DC, declared consequences, scars, and banked levels.</x:v>
      </x:c>
      <x:c r="G38" s="110" t="str">
        <x:v>Only observations, records, communications, and valid inferences in the active character's Knowledge Map.</x:v>
      </x:c>
      <x:c r="H38" s="110" t="str">
        <x:v>No predetermined moral or story requirement.</x:v>
      </x:c>
      <x:c r="I38" s="110" t="str">
        <x:v>Choose or invent a coherent Breakthrough route; prepare; delay; attempt; accept declared consequence.</x:v>
      </x:c>
      <x:c r="J38" s="110" t="str">
        <x:v>Trial and any accepted price/Overreach are confirmed before resolution.</x:v>
      </x:c>
      <x:c r="K38" s="110" t="str">
        <x:v>Qualifying attempt grants the Breakthrough with outcome-defined stability/consequence.</x:v>
      </x:c>
      <x:c r="L38" s="110" t="str">
        <x:v>Failure does not waste earned tier; it applies declared scars/complications as specified.</x:v>
      </x:c>
      <x:c r="M38" s="110" t="str">
        <x:v>Show honest queued/loading/pending state; preserve the player's draft and current world version; do not imply completion.</x:v>
      </x:c>
      <x:c r="N38" s="110" t="str">
        <x:v>Stop or revalidate before commitment; identify the accessible state that changed; preserve intent; refresh the interpretation without leaking hidden causes.</x:v>
      </x:c>
      <x:c r="O38" s="110" t="str">
        <x:v>Event/record ID; campaign timestamp; state version; ruleset/tuning version where applicable; source/provenance; validator result; committed inputs and output.</x:v>
      </x:c>
      <x:c r="P38" s="110" t="str">
        <x:v>Keyboard and screen-reader operable; semantic status text; no hover, drag, motion, or color-only dependency; concise labels with expandable detail.</x:v>
      </x:c>
      <x:c r="Q38" s="110" t="str">
        <x:v>Character</x:v>
      </x:c>
      <x:c r="R38" s="110" t="str">
        <x:v>Living Stage</x:v>
      </x:c>
      <x:c r="S38" s="110" t="str">
        <x:v>High</x:v>
      </x:c>
      <x:c r="T38" s="110" t="str">
        <x:v>P1</x:v>
      </x:c>
      <x:c r="U38" s="110" t="str">
        <x:v>Covered</x:v>
      </x:c>
      <x:c r="V38" s="110" t="str"/>
      <x:c r="W38" s="110" t="str"/>
      <x:c r="X38" s="111" t="n">
        <x:f>COUNTA(K38:N38)/4</x:f>
        <x:v>1</x:v>
      </x:c>
      <x:c r="Y38" s="111" t="n">
        <x:f>COUNTA(F38:R38)/13</x:f>
        <x:v>1</x:v>
      </x:c>
      <x:c r="Z38" s="110" t="str">
        <x:f>IF(OR(U38="Gap",U38="Decision Required",S38="Critical",X38&lt;1,Y38&lt;1),"REVIEW","READY")</x:f>
        <x:v>READY</x:v>
      </x:c>
    </x:row>
    <x:row r="39" ht="64" customHeight="1">
      <x:c r="A39" s="110" t="str">
        <x:v>CHR-011</x:v>
      </x:c>
      <x:c r="B39" s="110" t="str">
        <x:v>Progression &amp; Identity</x:v>
      </x:c>
      <x:c r="C39" s="110" t="str">
        <x:v>Moral Polarity, Conviction, Hope, Dread, and Defiance</x:v>
      </x:c>
      <x:c r="D39" s="110" t="str">
        <x:v>Mythic_Superhero_RPG_World_Constitution_v1.md — §10 Moral Polarity and Different Moral Rewards</x:v>
      </x:c>
      <x:c r="E39" s="110" t="str">
        <x:v>When the entity or event becomes relevant to the active viewpoint.</x:v>
      </x:c>
      <x:c r="F39" s="110" t="str">
        <x:v>Character's disclosed/internal track as permitted, specific qualifying event, foreseeable consequence, earned currency/effects, and public-information requirements.</x:v>
      </x:c>
      <x:c r="G39" s="110" t="str">
        <x:v>Only observations, records, communications, and valid inferences in the active character's Knowledge Map.</x:v>
      </x:c>
      <x:c r="H39" s="110" t="str">
        <x:v>Unknown deeds do not become public reputation; UI cannot moralize beyond approved polarity procedure.</x:v>
      </x:c>
      <x:c r="I39" s="110" t="str">
        <x:v>Act freely, inspect consequences, spend earned moral resource, or change path through play.</x:v>
      </x:c>
      <x:c r="J39" s="110" t="str">
        <x:v>No moral confirmation beyond the actual action's material commitment; do not ask “Are you sure you want to be evil?”</x:v>
      </x:c>
      <x:c r="K39" s="110" t="str">
        <x:v>Distinct playstyles receive powerful but different rewards and consequences.</x:v>
      </x:c>
      <x:c r="L39" s="110" t="str">
        <x:v>Opposing action shifts path without erasing agency or prior history.</x:v>
      </x:c>
      <x:c r="M39" s="110" t="str">
        <x:v>Show honest queued/loading/pending state; preserve the player's draft and current world version; do not imply completion.</x:v>
      </x:c>
      <x:c r="N39" s="110" t="str">
        <x:v>Stop or revalidate before commitment; identify the accessible state that changed; preserve intent; refresh the interpretation without leaking hidden causes.</x:v>
      </x:c>
      <x:c r="O39" s="110" t="str">
        <x:v>Event/record ID; campaign timestamp; state version; ruleset/tuning version where applicable; source/provenance; validator result; committed inputs and output.</x:v>
      </x:c>
      <x:c r="P39" s="110" t="str">
        <x:v>Keyboard and screen-reader operable; semantic status text; no hover, drag, motion, or color-only dependency; concise labels with expandable detail.</x:v>
      </x:c>
      <x:c r="Q39" s="110" t="str">
        <x:v>Character</x:v>
      </x:c>
      <x:c r="R39" s="110" t="str">
        <x:v>Law &amp; Reputation</x:v>
      </x:c>
      <x:c r="S39" s="110" t="str">
        <x:v>Critical</x:v>
      </x:c>
      <x:c r="T39" s="110" t="str">
        <x:v>P1</x:v>
      </x:c>
      <x:c r="U39" s="110" t="str">
        <x:v>Covered</x:v>
      </x:c>
      <x:c r="V39" s="110" t="str"/>
      <x:c r="W39" s="110" t="str"/>
      <x:c r="X39" s="111" t="n">
        <x:f>COUNTA(K39:N39)/4</x:f>
        <x:v>1</x:v>
      </x:c>
      <x:c r="Y39" s="111" t="n">
        <x:f>COUNTA(F39:R39)/13</x:f>
        <x:v>1</x:v>
      </x:c>
      <x:c r="Z39" s="110" t="str">
        <x:f>IF(OR(U39="Gap",U39="Decision Required",S39="Critical",X39&lt;1,Y39&lt;1),"REVIEW","READY")</x:f>
        <x:v>REVIEW</x:v>
      </x:c>
    </x:row>
    <x:row r="40" ht="64" customHeight="1">
      <x:c r="A40" s="110" t="str">
        <x:v>CHR-012</x:v>
      </x:c>
      <x:c r="B40" s="110" t="str">
        <x:v>Progression &amp; Identity</x:v>
      </x:c>
      <x:c r="C40" s="110" t="str">
        <x:v>Names, Epithets, Mantles, Claims, and apotheosis</x:v>
      </x:c>
      <x:c r="D40" s="110" t="str">
        <x:v>Mythic_Superhero_RPG_World_Constitution_v1.md — §34 Domains/Mantles/Names; §37 Divine Succession</x:v>
      </x:c>
      <x:c r="E40" s="110" t="str">
        <x:v>When the entity or event becomes relevant to the active viewpoint.</x:v>
      </x:c>
      <x:c r="F40" s="110" t="str">
        <x:v>Known Recognition, deeds, resonance state, obligations, Claims, available thresholds, and visual evolution.</x:v>
      </x:c>
      <x:c r="G40" s="110" t="str">
        <x:v>Only observations, records, communications, and valid inferences in the active character's Knowledge Map.</x:v>
      </x:c>
      <x:c r="H40" s="110" t="str">
        <x:v>Undiscovered rival claims, secret Names, inaccessible thresholds, and engine-only divine truth.</x:v>
      </x:c>
      <x:c r="I40" s="110" t="str">
        <x:v>Pursue, refuse, contest, inherit, accelerate by explicit Price, redefine, or abandon a claim where possible.</x:v>
      </x:c>
      <x:c r="J40" s="110" t="str">
        <x:v>Name change, Mantle bond, extraordinary Price, Authority, and succession require explicit commitment.</x:v>
      </x:c>
      <x:c r="K40" s="110" t="str">
        <x:v>Identity progression follows actual deeds, recognition, access, and validated thresholds.</x:v>
      </x:c>
      <x:c r="L40" s="110" t="str">
        <x:v>No automatic Authority from similar powers; failed trial cannot revoke an already paid guaranteed tier.</x:v>
      </x:c>
      <x:c r="M40" s="110" t="str">
        <x:v>Show honest queued/loading/pending state; preserve the player's draft and current world version; do not imply completion.</x:v>
      </x:c>
      <x:c r="N40" s="110" t="str">
        <x:v>Stop or revalidate before commitment; identify the accessible state that changed; preserve intent; refresh the interpretation without leaking hidden causes.</x:v>
      </x:c>
      <x:c r="O40" s="110" t="str">
        <x:v>Event/record ID; campaign timestamp; state version; ruleset/tuning version where applicable; source/provenance; validator result; committed inputs and output.</x:v>
      </x:c>
      <x:c r="P40" s="110" t="str">
        <x:v>Keyboard and screen-reader operable; semantic status text; no hover, drag, motion, or color-only dependency; concise labels with expandable detail.</x:v>
      </x:c>
      <x:c r="Q40" s="110" t="str">
        <x:v>Relics &amp; Mythic Identity</x:v>
      </x:c>
      <x:c r="R40" s="110" t="str">
        <x:v>Character</x:v>
      </x:c>
      <x:c r="S40" s="110" t="str">
        <x:v>Critical</x:v>
      </x:c>
      <x:c r="T40" s="110" t="str">
        <x:v>P1</x:v>
      </x:c>
      <x:c r="U40" s="110" t="str">
        <x:v>Covered</x:v>
      </x:c>
      <x:c r="V40" s="110" t="str"/>
      <x:c r="W40" s="110" t="str"/>
      <x:c r="X40" s="111" t="n">
        <x:f>COUNTA(K40:N40)/4</x:f>
        <x:v>1</x:v>
      </x:c>
      <x:c r="Y40" s="111" t="n">
        <x:f>COUNTA(F40:R40)/13</x:f>
        <x:v>1</x:v>
      </x:c>
      <x:c r="Z40" s="110" t="str">
        <x:f>IF(OR(U40="Gap",U40="Decision Required",S40="Critical",X40&lt;1,Y40&lt;1),"REVIEW","READY")</x:f>
        <x:v>REVIEW</x:v>
      </x:c>
    </x:row>
    <x:row r="41" ht="64" customHeight="1">
      <x:c r="A41" s="110" t="str">
        <x:v>CHR-013</x:v>
      </x:c>
      <x:c r="B41" s="110" t="str">
        <x:v>Progression &amp; Identity</x:v>
      </x:c>
      <x:c r="C41" s="110" t="str">
        <x:v>Legacy, successor, and post-Level-20 continuity</x:v>
      </x:c>
      <x:c r="D41" s="110" t="str">
        <x:v>Mythic_Superhero_RPG_World_Constitution_v1.md — §10 Legacy; §22 Relic Succession; §27 Death/Legacy</x:v>
      </x:c>
      <x:c r="E41" s="110" t="str">
        <x:v>When the entity or event becomes relevant to the active viewpoint.</x:v>
      </x:c>
      <x:c r="F41" s="110" t="str">
        <x:v>Legacy Marks/Rank, eligible Anchors, slots, inheritable rights, successor constraints, and losses that remain.</x:v>
      </x:c>
      <x:c r="G41" s="110" t="str">
        <x:v>Only observations, records, communications, and valid inferences in the active character's Knowledge Map.</x:v>
      </x:c>
      <x:c r="H41" s="110" t="str">
        <x:v>No assumed consent from successors, companions, factions, or sapient Relics.</x:v>
      </x:c>
      <x:c r="I41" s="110" t="str">
        <x:v>Designate legal inheritance, preserve technique/institution/relationship/route, select successor, or begin new protagonist.</x:v>
      </x:c>
      <x:c r="J41" s="110" t="str">
        <x:v>Succession and every transmitted Legacy slot require explicit review.</x:v>
      </x:c>
      <x:c r="K41" s="110" t="str">
        <x:v>Play continues without erasing the predecessor's death and changed world.</x:v>
      </x:c>
      <x:c r="L41" s="110" t="str">
        <x:v>Unavailable asset or unconsenting Relic remains unavailable; no cloning or respawn.</x:v>
      </x:c>
      <x:c r="M41" s="110" t="str">
        <x:v>Show honest queued/loading/pending state; preserve the player's draft and current world version; do not imply completion.</x:v>
      </x:c>
      <x:c r="N41" s="110" t="str">
        <x:v>Stop or revalidate before commitment; identify the accessible state that changed; preserve intent; refresh the interpretation without leaking hidden causes.</x:v>
      </x:c>
      <x:c r="O41" s="110" t="str">
        <x:v>Event/record ID; campaign timestamp; state version; ruleset/tuning version where applicable; source/provenance; validator result; committed inputs and output.</x:v>
      </x:c>
      <x:c r="P41" s="110" t="str">
        <x:v>Keyboard and screen-reader operable; semantic status text; no hover, drag, motion, or color-only dependency; concise labels with expandable detail.</x:v>
      </x:c>
      <x:c r="Q41" s="110" t="str">
        <x:v>Death &amp; Continuation</x:v>
      </x:c>
      <x:c r="R41" s="110" t="str">
        <x:v>Relics &amp; Mythic Identity</x:v>
      </x:c>
      <x:c r="S41" s="110" t="str">
        <x:v>Critical</x:v>
      </x:c>
      <x:c r="T41" s="110" t="str">
        <x:v>P1</x:v>
      </x:c>
      <x:c r="U41" s="110" t="str">
        <x:v>Covered</x:v>
      </x:c>
      <x:c r="V41" s="110" t="str"/>
      <x:c r="W41" s="110" t="str"/>
      <x:c r="X41" s="111" t="n">
        <x:f>COUNTA(K41:N41)/4</x:f>
        <x:v>1</x:v>
      </x:c>
      <x:c r="Y41" s="111" t="n">
        <x:f>COUNTA(F41:R41)/13</x:f>
        <x:v>1</x:v>
      </x:c>
      <x:c r="Z41" s="110" t="str">
        <x:f>IF(OR(U41="Gap",U41="Decision Required",S41="Critical",X41&lt;1,Y41&lt;1),"REVIEW","READY")</x:f>
        <x:v>REVIEW</x:v>
      </x:c>
    </x:row>
    <x:row r="42" ht="64" customHeight="1">
      <x:c r="A42" s="110" t="str">
        <x:v>COM-001</x:v>
      </x:c>
      <x:c r="B42" s="110" t="str">
        <x:v>Combat, Damage &amp; Recovery</x:v>
      </x:c>
      <x:c r="C42" s="110" t="str">
        <x:v>Vitality, Composure, Reserve, Momentum, Fate, Recovery Dice</x:v>
      </x:c>
      <x:c r="D42" s="110" t="str">
        <x:v>Mythic_Superhero_RPG_World_Constitution_v1.md — §9 Resources; §15 Momentum; §17 Derived Resources</x:v>
      </x:c>
      <x:c r="E42" s="110" t="str">
        <x:v>When the entity or event becomes relevant to the active viewpoint.</x:v>
      </x:c>
      <x:c r="F42" s="110" t="str">
        <x:v>Current/effective maximum, source skin, available spend, impairment, and relevant recovery rules.</x:v>
      </x:c>
      <x:c r="G42" s="110" t="str">
        <x:v>Only observations, records, communications, and valid inferences in the active character's Knowledge Map.</x:v>
      </x:c>
      <x:c r="H42" s="110" t="str">
        <x:v>Other actors' exact resources unless observed or discovered by a valid effect.</x:v>
      </x:c>
      <x:c r="I42" s="110" t="str">
        <x:v>Spend through legal abilities, Push/Overdraw, recover, inspect sources, or conserve.</x:v>
      </x:c>
      <x:c r="J42" s="110" t="str">
        <x:v>Rare Fate, Overdraw, Wound risk, or permanent resource costs require explicit confirmation.</x:v>
      </x:c>
      <x:c r="K42" s="110" t="str">
        <x:v>Resource changes animate concisely and remain inspectable in detail.</x:v>
      </x:c>
      <x:c r="L42" s="110" t="str">
        <x:v>Shortfall blocks only the requiring action; permitted Overdraw remains offered with declared cost.</x:v>
      </x:c>
      <x:c r="M42" s="110" t="str">
        <x:v>Show honest queued/loading/pending state; preserve the player's draft and current world version; do not imply completion.</x:v>
      </x:c>
      <x:c r="N42" s="110" t="str">
        <x:v>Stop or revalidate before commitment; identify the accessible state that changed; preserve intent; refresh the interpretation without leaking hidden causes.</x:v>
      </x:c>
      <x:c r="O42" s="110" t="str">
        <x:v>Event/record ID; campaign timestamp; state version; ruleset/tuning version where applicable; source/provenance; validator result; committed inputs and output.</x:v>
      </x:c>
      <x:c r="P42" s="110" t="str">
        <x:v>Keyboard and screen-reader operable; semantic status text; no hover, drag, motion, or color-only dependency; concise labels with expandable detail.</x:v>
      </x:c>
      <x:c r="Q42" s="110" t="str">
        <x:v>Character</x:v>
      </x:c>
      <x:c r="R42" s="110" t="str">
        <x:v>Immediate Danger</x:v>
      </x:c>
      <x:c r="S42" s="110" t="str">
        <x:v>Critical</x:v>
      </x:c>
      <x:c r="T42" s="110" t="str">
        <x:v>P0</x:v>
      </x:c>
      <x:c r="U42" s="110" t="str">
        <x:v>Covered</x:v>
      </x:c>
      <x:c r="V42" s="110" t="str"/>
      <x:c r="W42" s="110" t="str"/>
      <x:c r="X42" s="111" t="n">
        <x:f>COUNTA(K42:N42)/4</x:f>
        <x:v>1</x:v>
      </x:c>
      <x:c r="Y42" s="111" t="n">
        <x:f>COUNTA(F42:R42)/13</x:f>
        <x:v>1</x:v>
      </x:c>
      <x:c r="Z42" s="110" t="str">
        <x:f>IF(OR(U42="Gap",U42="Decision Required",S42="Critical",X42&lt;1,Y42&lt;1),"REVIEW","READY")</x:f>
        <x:v>REVIEW</x:v>
      </x:c>
    </x:row>
    <x:row r="43" ht="64" customHeight="1">
      <x:c r="A43" s="110" t="str">
        <x:v>COM-002</x:v>
      </x:c>
      <x:c r="B43" s="110" t="str">
        <x:v>Combat, Damage &amp; Recovery</x:v>
      </x:c>
      <x:c r="C43" s="110" t="str">
        <x:v>Wounds, conditions, and visual continuity</x:v>
      </x:c>
      <x:c r="D43" s="110" t="str">
        <x:v>Mythic_Superhero_RPG_World_Constitution_v1.md — §9 Wounds; §17 Wound Consequences; §18 Conditions</x:v>
      </x:c>
      <x:c r="E43" s="110" t="str">
        <x:v>When the entity or event becomes relevant to the active viewpoint.</x:v>
      </x:c>
      <x:c r="F43" s="110" t="str">
        <x:v>Type, severity, affected function, exact mechanics, source, duration/recovery, and visible manifestation.</x:v>
      </x:c>
      <x:c r="G43" s="110" t="str">
        <x:v>Only observations, records, communications, and valid inferences in the active character's Knowledge Map.</x:v>
      </x:c>
      <x:c r="H43" s="110" t="str">
        <x:v>Undiagnosed internal details remain uncertain until perceived or analyzed.</x:v>
      </x:c>
      <x:c r="I43" s="110" t="str">
        <x:v>Inspect, treat, suppress, adapt, seek help, continue with penalty, or use a legal restorative effect.</x:v>
      </x:c>
      <x:c r="J43" s="110" t="str">
        <x:v>Accepting intentional Wound/condition cost requires pre-roll confirmation.</x:v>
      </x:c>
      <x:c r="K43" s="110" t="str">
        <x:v>Persistent harm remains visible across scene, character, equipment, and comic state.</x:v>
      </x:c>
      <x:c r="L43" s="110" t="str">
        <x:v>Healing one category never silently restores body, memory, Self, Name, soul, or equipment outside its scope.</x:v>
      </x:c>
      <x:c r="M43" s="110" t="str">
        <x:v>Show honest queued/loading/pending state; preserve the player's draft and current world version; do not imply completion.</x:v>
      </x:c>
      <x:c r="N43" s="110" t="str">
        <x:v>Stop or revalidate before commitment; identify the accessible state that changed; preserve intent; refresh the interpretation without leaking hidden causes.</x:v>
      </x:c>
      <x:c r="O43" s="110" t="str">
        <x:v>Event/record ID; campaign timestamp; state version; ruleset/tuning version where applicable; source/provenance; validator result; committed inputs and output.</x:v>
      </x:c>
      <x:c r="P43" s="110" t="str">
        <x:v>Keyboard and screen-reader operable; semantic status text; no hover, drag, motion, or color-only dependency; concise labels with expandable detail.</x:v>
      </x:c>
      <x:c r="Q43" s="110" t="str">
        <x:v>Character</x:v>
      </x:c>
      <x:c r="R43" s="110" t="str">
        <x:v>Living Stage</x:v>
      </x:c>
      <x:c r="S43" s="110" t="str">
        <x:v>Critical</x:v>
      </x:c>
      <x:c r="T43" s="110" t="str">
        <x:v>P0</x:v>
      </x:c>
      <x:c r="U43" s="110" t="str">
        <x:v>Covered</x:v>
      </x:c>
      <x:c r="V43" s="110" t="str"/>
      <x:c r="W43" s="110" t="str"/>
      <x:c r="X43" s="111" t="n">
        <x:f>COUNTA(K43:N43)/4</x:f>
        <x:v>1</x:v>
      </x:c>
      <x:c r="Y43" s="111" t="n">
        <x:f>COUNTA(F43:R43)/13</x:f>
        <x:v>1</x:v>
      </x:c>
      <x:c r="Z43" s="110" t="str">
        <x:f>IF(OR(U43="Gap",U43="Decision Required",S43="Critical",X43&lt;1,Y43&lt;1),"REVIEW","READY")</x:f>
        <x:v>REVIEW</x:v>
      </x:c>
    </x:row>
    <x:row r="44" ht="64" customHeight="1">
      <x:c r="A44" s="110" t="str">
        <x:v>COM-003</x:v>
      </x:c>
      <x:c r="B44" s="110" t="str">
        <x:v>Combat, Damage &amp; Recovery</x:v>
      </x:c>
      <x:c r="C44" s="110" t="str">
        <x:v>Initiative, readiness, and encounter commitment</x:v>
      </x:c>
      <x:c r="D44" s="110" t="str">
        <x:v>Mythic_Superhero_RPG_World_Constitution_v1.md — §15 Encounter State/Surprise/Initiative</x:v>
      </x:c>
      <x:c r="E44" s="110" t="str">
        <x:v>When the entity or event becomes relevant to the active viewpoint.</x:v>
      </x:c>
      <x:c r="F44" s="110" t="str">
        <x:v>Known participants, objectives, routes, initiative inputs/order, Unready state, visible hazards, and round timing.</x:v>
      </x:c>
      <x:c r="G44" s="110" t="str">
        <x:v>Only observations, records, communications, and valid inferences in the active character's Knowledge Map.</x:v>
      </x:c>
      <x:c r="H44" s="110" t="str">
        <x:v>Concealed participants and precommitted hazards until discovered.</x:v>
      </x:c>
      <x:c r="I44" s="110" t="str">
        <x:v>Choose supported initiative approach, enter structured play, withdraw, speak, surrender, or act freely within economy.</x:v>
      </x:c>
      <x:c r="J44" s="110" t="str">
        <x:v>Chosen approach and any pre-initiative cost are confirmed before roll.</x:v>
      </x:c>
      <x:c r="K44" s="110" t="str">
        <x:v>Order is deterministic and tied to the actual committed scene.</x:v>
      </x:c>
      <x:c r="L44" s="110" t="str">
        <x:v>No tutorial protection, post-hoc reinforcement, or room resizing.</x:v>
      </x:c>
      <x:c r="M44" s="110" t="str">
        <x:v>Show honest queued/loading/pending state; preserve the player's draft and current world version; do not imply completion.</x:v>
      </x:c>
      <x:c r="N44" s="110" t="str">
        <x:v>Stop or revalidate before commitment; identify the accessible state that changed; preserve intent; refresh the interpretation without leaking hidden causes.</x:v>
      </x:c>
      <x:c r="O44" s="110" t="str">
        <x:v>Event/record ID; campaign timestamp; state version; ruleset/tuning version where applicable; source/provenance; validator result; committed inputs and output.</x:v>
      </x:c>
      <x:c r="P44" s="110" t="str">
        <x:v>Keyboard and screen-reader operable; semantic status text; no hover, drag, motion, or color-only dependency; concise labels with expandable detail.</x:v>
      </x:c>
      <x:c r="Q44" s="110" t="str">
        <x:v>Immediate Danger</x:v>
      </x:c>
      <x:c r="R44" s="110" t="str">
        <x:v>Living Stage</x:v>
      </x:c>
      <x:c r="S44" s="110" t="str">
        <x:v>Critical</x:v>
      </x:c>
      <x:c r="T44" s="110" t="str">
        <x:v>P0</x:v>
      </x:c>
      <x:c r="U44" s="110" t="str">
        <x:v>Covered</x:v>
      </x:c>
      <x:c r="V44" s="110" t="str"/>
      <x:c r="W44" s="110" t="str"/>
      <x:c r="X44" s="111" t="n">
        <x:f>COUNTA(K44:N44)/4</x:f>
        <x:v>1</x:v>
      </x:c>
      <x:c r="Y44" s="111" t="n">
        <x:f>COUNTA(F44:R44)/13</x:f>
        <x:v>1</x:v>
      </x:c>
      <x:c r="Z44" s="110" t="str">
        <x:f>IF(OR(U44="Gap",U44="Decision Required",S44="Critical",X44&lt;1,Y44&lt;1),"REVIEW","READY")</x:f>
        <x:v>REVIEW</x:v>
      </x:c>
    </x:row>
    <x:row r="45" ht="64" customHeight="1">
      <x:c r="A45" s="110" t="str">
        <x:v>COM-004</x:v>
      </x:c>
      <x:c r="B45" s="110" t="str">
        <x:v>Combat, Damage &amp; Recovery</x:v>
      </x:c>
      <x:c r="C45" s="110" t="str">
        <x:v>Action economy, reactions, interrupts, and pending choices</x:v>
      </x:c>
      <x:c r="D45" s="110" t="str">
        <x:v>Mythic_Superhero_RPG_World_Constitution_v1.md — §15 Turn Economy/Reaction Timing</x:v>
      </x:c>
      <x:c r="E45" s="110" t="str">
        <x:v>When the entity or event becomes relevant to the active viewpoint.</x:v>
      </x:c>
      <x:c r="F45" s="110" t="str">
        <x:v>Available Major/Move/Quick/Reaction, legal timing window, trigger, costs, and effect order.</x:v>
      </x:c>
      <x:c r="G45" s="110" t="str">
        <x:v>Only observations, records, communications, and valid inferences in the active character's Knowledge Map.</x:v>
      </x:c>
      <x:c r="H45" s="110" t="str">
        <x:v>Enemy reactions remain hidden until their trigger makes them perceptible or a valid effect reveals them.</x:v>
      </x:c>
      <x:c r="I45" s="110" t="str">
        <x:v>Act, downgrade actions, delay, ready, react, decline, speak, interact, or declare a Stunt.</x:v>
      </x:c>
      <x:c r="J45" s="110" t="str">
        <x:v>Scarce or irreversible reaction spends remain explicit; routine action use stays fluid.</x:v>
      </x:c>
      <x:c r="K45" s="110" t="str">
        <x:v>Interrupt resolves, then the interrupted action continues if still valid.</x:v>
      </x:c>
      <x:c r="L45" s="110" t="str">
        <x:v>No unlimited reaction chain or retroactive declaration outside a permitted window.</x:v>
      </x:c>
      <x:c r="M45" s="110" t="str">
        <x:v>Show honest queued/loading/pending state; preserve the player's draft and current world version; do not imply completion.</x:v>
      </x:c>
      <x:c r="N45" s="110" t="str">
        <x:v>Stop or revalidate before commitment; identify the accessible state that changed; preserve intent; refresh the interpretation without leaking hidden causes.</x:v>
      </x:c>
      <x:c r="O45" s="110" t="str">
        <x:v>Event/record ID; campaign timestamp; state version; ruleset/tuning version where applicable; source/provenance; validator result; committed inputs and output.</x:v>
      </x:c>
      <x:c r="P45" s="110" t="str">
        <x:v>Keyboard and screen-reader operable; semantic status text; no hover, drag, motion, or color-only dependency; concise labels with expandable detail.</x:v>
      </x:c>
      <x:c r="Q45" s="110" t="str">
        <x:v>Immediate Danger</x:v>
      </x:c>
      <x:c r="R45" s="110" t="str">
        <x:v>Intent Dock</x:v>
      </x:c>
      <x:c r="S45" s="110" t="str">
        <x:v>Critical</x:v>
      </x:c>
      <x:c r="T45" s="110" t="str">
        <x:v>P0</x:v>
      </x:c>
      <x:c r="U45" s="110" t="str">
        <x:v>Covered</x:v>
      </x:c>
      <x:c r="V45" s="110" t="str"/>
      <x:c r="W45" s="110" t="str"/>
      <x:c r="X45" s="111" t="n">
        <x:f>COUNTA(K45:N45)/4</x:f>
        <x:v>1</x:v>
      </x:c>
      <x:c r="Y45" s="111" t="n">
        <x:f>COUNTA(F45:R45)/13</x:f>
        <x:v>1</x:v>
      </x:c>
      <x:c r="Z45" s="110" t="str">
        <x:f>IF(OR(U45="Gap",U45="Decision Required",S45="Critical",X45&lt;1,Y45&lt;1),"REVIEW","READY")</x:f>
        <x:v>REVIEW</x:v>
      </x:c>
    </x:row>
    <x:row r="46" ht="64" customHeight="1">
      <x:c r="A46" s="110" t="str">
        <x:v>COM-005</x:v>
      </x:c>
      <x:c r="B46" s="110" t="str">
        <x:v>Combat, Damage &amp; Recovery</x:v>
      </x:c>
      <x:c r="C46" s="110" t="str">
        <x:v>Precise position, range bands, movement, cover, and concealment</x:v>
      </x:c>
      <x:c r="D46" s="110" t="str">
        <x:v>Mythic_Superhero_RPG_World_Constitution_v1.md — §15 Position/Range; §16 Cover/Concealment</x:v>
      </x:c>
      <x:c r="E46" s="110" t="str">
        <x:v>When the entity or event becomes relevant to the active viewpoint.</x:v>
      </x:c>
      <x:c r="F46" s="110" t="str">
        <x:v>Viewpoint-safe positions, range bands, exact spaces when required, elevation, engagement, cover, visible paths, and uncertainty.</x:v>
      </x:c>
      <x:c r="G46" s="110" t="str">
        <x:v>Only observations, records, communications, and valid inferences in the active character's Knowledge Map.</x:v>
      </x:c>
      <x:c r="H46" s="110" t="str">
        <x:v>Unlocated actors, hidden paths, and canonical exact location when the viewpoint is lost.</x:v>
      </x:c>
      <x:c r="I46" s="110" t="str">
        <x:v>Move, split movement, Dash, Withdraw, Disengage, take cover, search, teleport, or attempt another valid method.</x:v>
      </x:c>
      <x:c r="J46" s="110" t="str">
        <x:v>Confirm movement triggering known reactions or entering known severe hazards when material.</x:v>
      </x:c>
      <x:c r="K46" s="110" t="str">
        <x:v>Narration and tactical view remain backed by the same spatial state.</x:v>
      </x:c>
      <x:c r="L46" s="110" t="str">
        <x:v>No teleport through unrecorded space or UI-created barrier.</x:v>
      </x:c>
      <x:c r="M46" s="110" t="str">
        <x:v>Show honest queued/loading/pending state; preserve the player's draft and current world version; do not imply completion.</x:v>
      </x:c>
      <x:c r="N46" s="110" t="str">
        <x:v>Stop or revalidate before commitment; identify the accessible state that changed; preserve intent; refresh the interpretation without leaking hidden causes.</x:v>
      </x:c>
      <x:c r="O46" s="110" t="str">
        <x:v>Event/record ID; campaign timestamp; state version; ruleset/tuning version where applicable; source/provenance; validator result; committed inputs and output.</x:v>
      </x:c>
      <x:c r="P46" s="110" t="str">
        <x:v>Keyboard and screen-reader operable; semantic status text; no hover, drag, motion, or color-only dependency; concise labels with expandable detail.</x:v>
      </x:c>
      <x:c r="Q46" s="110" t="str">
        <x:v>Immediate Danger</x:v>
      </x:c>
      <x:c r="R46" s="110" t="str">
        <x:v>Exploration &amp; Site Map</x:v>
      </x:c>
      <x:c r="S46" s="110" t="str">
        <x:v>Critical</x:v>
      </x:c>
      <x:c r="T46" s="110" t="str">
        <x:v>P0</x:v>
      </x:c>
      <x:c r="U46" s="110" t="str">
        <x:v>Gap</x:v>
      </x:c>
      <x:c r="V46" s="110" t="str">
        <x:v>GAP-002</x:v>
      </x:c>
      <x:c r="W46" s="110" t="str"/>
      <x:c r="X46" s="111" t="n">
        <x:f>COUNTA(K46:N46)/4</x:f>
        <x:v>1</x:v>
      </x:c>
      <x:c r="Y46" s="111" t="n">
        <x:f>COUNTA(F46:R46)/13</x:f>
        <x:v>1</x:v>
      </x:c>
      <x:c r="Z46" s="110" t="str">
        <x:f>IF(OR(U46="Gap",U46="Decision Required",S46="Critical",X46&lt;1,Y46&lt;1),"REVIEW","READY")</x:f>
        <x:v>REVIEW</x:v>
      </x:c>
    </x:row>
    <x:row r="47" ht="64" customHeight="1">
      <x:c r="A47" s="110" t="str">
        <x:v>COM-006</x:v>
      </x:c>
      <x:c r="B47" s="110" t="str">
        <x:v>Combat, Damage &amp; Recovery</x:v>
      </x:c>
      <x:c r="C47" s="110" t="str">
        <x:v>Attacks, maneuvers, Called Shots, and combat Stunts</x:v>
      </x:c>
      <x:c r="D47" s="110" t="str">
        <x:v>Mythic_Superhero_RPG_World_Constitution_v1.md — §16 Attacks/Maneuvers/Freeform Combat</x:v>
      </x:c>
      <x:c r="E47" s="110" t="str">
        <x:v>When the entity or event becomes relevant to the active viewpoint.</x:v>
      </x:c>
      <x:c r="F47" s="110" t="str">
        <x:v>Intent, target, Attribute/skill, Defense/known target number, range, line, costs, base effect, Riders, collateral/evidence risks.</x:v>
      </x:c>
      <x:c r="G47" s="110" t="str">
        <x:v>Only observations, records, communications, and valid inferences in the active character's Knowledge Map.</x:v>
      </x:c>
      <x:c r="H47" s="110" t="str">
        <x:v>Unrevealed vulnerabilities, immunities, and inaccessible defenses.</x:v>
      </x:c>
      <x:c r="I47" s="110" t="str">
        <x:v>Attack, maneuver, called shot, aim, alter intent, choose nonlethal when supported, Stunt, or cancel.</x:v>
      </x:c>
      <x:c r="J47" s="110" t="str">
        <x:v>Lethal/indiscriminate intent and guaranteed costs require confirmation.</x:v>
      </x:c>
      <x:c r="K47" s="110" t="str">
        <x:v>Accepted absurd actions receive real mechanics and consequences.</x:v>
      </x:c>
      <x:c r="L47" s="110" t="str">
        <x:v>Committed costs remain; natural results cannot make fundamental impossibility possible.</x:v>
      </x:c>
      <x:c r="M47" s="110" t="str">
        <x:v>Show honest queued/loading/pending state; preserve the player's draft and current world version; do not imply completion.</x:v>
      </x:c>
      <x:c r="N47" s="110" t="str">
        <x:v>Stop or revalidate before commitment; identify the accessible state that changed; preserve intent; refresh the interpretation without leaking hidden causes.</x:v>
      </x:c>
      <x:c r="O47" s="110" t="str">
        <x:v>Event/record ID; campaign timestamp; state version; ruleset/tuning version where applicable; source/provenance; validator result; committed inputs and output.</x:v>
      </x:c>
      <x:c r="P47" s="110" t="str">
        <x:v>Keyboard and screen-reader operable; semantic status text; no hover, drag, motion, or color-only dependency; concise labels with expandable detail.</x:v>
      </x:c>
      <x:c r="Q47" s="110" t="str">
        <x:v>Immediate Danger</x:v>
      </x:c>
      <x:c r="R47" s="110" t="str">
        <x:v>Intent Dock</x:v>
      </x:c>
      <x:c r="S47" s="110" t="str">
        <x:v>Critical</x:v>
      </x:c>
      <x:c r="T47" s="110" t="str">
        <x:v>P0</x:v>
      </x:c>
      <x:c r="U47" s="110" t="str">
        <x:v>Covered</x:v>
      </x:c>
      <x:c r="V47" s="110" t="str"/>
      <x:c r="W47" s="110" t="str"/>
      <x:c r="X47" s="111" t="n">
        <x:f>COUNTA(K47:N47)/4</x:f>
        <x:v>1</x:v>
      </x:c>
      <x:c r="Y47" s="111" t="n">
        <x:f>COUNTA(F47:R47)/13</x:f>
        <x:v>1</x:v>
      </x:c>
      <x:c r="Z47" s="110" t="str">
        <x:f>IF(OR(U47="Gap",U47="Decision Required",S47="Critical",X47&lt;1,Y47&lt;1),"REVIEW","READY")</x:f>
        <x:v>REVIEW</x:v>
      </x:c>
    </x:row>
    <x:row r="48" ht="64" customHeight="1">
      <x:c r="A48" s="110" t="str">
        <x:v>COM-007</x:v>
      </x:c>
      <x:c r="B48" s="110" t="str">
        <x:v>Combat, Damage &amp; Recovery</x:v>
      </x:c>
      <x:c r="C48" s="110" t="str">
        <x:v>Damage, mitigation, scale, Trauma, and Wound pipeline</x:v>
      </x:c>
      <x:c r="D48" s="110" t="str">
        <x:v>Mythic_Superhero_RPG_World_Constitution_v1.md — §9 Damage Pipeline; §17 Full Damage Specification</x:v>
      </x:c>
      <x:c r="E48" s="110" t="str">
        <x:v>When the entity or event becomes relevant to the active viewpoint.</x:v>
      </x:c>
      <x:c r="F48" s="110" t="str">
        <x:v>Concise impact plus expandable Rank, dice, Scale, Barrier, Armor, resistance, Final Damage, Trauma, Wound check, and state changes.</x:v>
      </x:c>
      <x:c r="G48" s="110" t="str">
        <x:v>Only observations, records, communications, and valid inferences in the active character's Knowledge Map.</x:v>
      </x:c>
      <x:c r="H48" s="110" t="str">
        <x:v>Undiscovered target defenses remain redacted until their effects become observable or analyzed.</x:v>
      </x:c>
      <x:c r="I48" s="110" t="str">
        <x:v>Inspect, spend eligible reaction, select owned outcome Riders, or continue after commitment.</x:v>
      </x:c>
      <x:c r="J48" s="110" t="str">
        <x:v>Reaction and probability-control timing respects before/after-result windows.</x:v>
      </x:c>
      <x:c r="K48" s="110" t="str">
        <x:v>Fixed pipeline produces reproducible mechanical and visual aftermath.</x:v>
      </x:c>
      <x:c r="L48" s="110" t="str">
        <x:v>AI cannot reorder mitigation to protect or punish a target.</x:v>
      </x:c>
      <x:c r="M48" s="110" t="str">
        <x:v>Show honest queued/loading/pending state; preserve the player's draft and current world version; do not imply completion.</x:v>
      </x:c>
      <x:c r="N48" s="110" t="str">
        <x:v>Stop or revalidate before commitment; identify the accessible state that changed; preserve intent; refresh the interpretation without leaking hidden causes.</x:v>
      </x:c>
      <x:c r="O48" s="110" t="str">
        <x:v>Event/record ID; campaign timestamp; state version; ruleset/tuning version where applicable; source/provenance; validator result; committed inputs and output.</x:v>
      </x:c>
      <x:c r="P48" s="110" t="str">
        <x:v>Keyboard and screen-reader operable; semantic status text; no hover, drag, motion, or color-only dependency; concise labels with expandable detail.</x:v>
      </x:c>
      <x:c r="Q48" s="110" t="str">
        <x:v>Immediate Danger</x:v>
      </x:c>
      <x:c r="R48" s="110" t="str">
        <x:v>Chronicle &amp; Audit</x:v>
      </x:c>
      <x:c r="S48" s="110" t="str">
        <x:v>Critical</x:v>
      </x:c>
      <x:c r="T48" s="110" t="str">
        <x:v>P0</x:v>
      </x:c>
      <x:c r="U48" s="110" t="str">
        <x:v>Covered</x:v>
      </x:c>
      <x:c r="V48" s="110" t="str"/>
      <x:c r="W48" s="110" t="str"/>
      <x:c r="X48" s="111" t="n">
        <x:f>COUNTA(K48:N48)/4</x:f>
        <x:v>1</x:v>
      </x:c>
      <x:c r="Y48" s="111" t="n">
        <x:f>COUNTA(F48:R48)/13</x:f>
        <x:v>1</x:v>
      </x:c>
      <x:c r="Z48" s="110" t="str">
        <x:f>IF(OR(U48="Gap",U48="Decision Required",S48="Critical",X48&lt;1,Y48&lt;1),"REVIEW","READY")</x:f>
        <x:v>REVIEW</x:v>
      </x:c>
    </x:row>
    <x:row r="49" ht="64" customHeight="1">
      <x:c r="A49" s="110" t="str">
        <x:v>COM-008</x:v>
      </x:c>
      <x:c r="B49" s="110" t="str">
        <x:v>Combat, Damage &amp; Recovery</x:v>
      </x:c>
      <x:c r="C49" s="110" t="str">
        <x:v>Zero-resource defeat, surrender, capture, and nonlethal outcomes</x:v>
      </x:c>
      <x:c r="D49" s="110" t="str">
        <x:v>Mythic_Superhero_RPG_World_Constitution_v1.md — §9 Defeat; §17 Zero States/Intent; §15 Encounter Conclusion</x:v>
      </x:c>
      <x:c r="E49" s="110" t="str">
        <x:v>When the entity or event becomes relevant to the active viewpoint.</x:v>
      </x:c>
      <x:c r="F49" s="110" t="str">
        <x:v>Current defeat state, declared attacker intent as legally perceptible, immediate risks, remaining legal choices, and custody change.</x:v>
      </x:c>
      <x:c r="G49" s="110" t="str">
        <x:v>Only observations, records, communications, and valid inferences in the active character's Knowledge Map.</x:v>
      </x:c>
      <x:c r="H49" s="110" t="str">
        <x:v>Captors' private plans and afterlife claims not yet communicated.</x:v>
      </x:c>
      <x:c r="I49" s="110" t="str">
        <x:v>Surrender, resist, flee, bargain, stabilize, continue through explicit feature, or accept capture.</x:v>
      </x:c>
      <x:c r="J49" s="110" t="str">
        <x:v>Player surrender and materially irreversible self-sacrifice require explicit choice; NPC outcomes follow autonomous rules.</x:v>
      </x:c>
      <x:c r="K49" s="110" t="str">
        <x:v>Defeat changes the scenario without automatically ending the campaign.</x:v>
      </x:c>
      <x:c r="L49" s="110" t="str">
        <x:v>Zero Vitality does not silently equal death; zero Composure does not grant unrestricted AI control.</x:v>
      </x:c>
      <x:c r="M49" s="110" t="str">
        <x:v>Show honest queued/loading/pending state; preserve the player's draft and current world version; do not imply completion.</x:v>
      </x:c>
      <x:c r="N49" s="110" t="str">
        <x:v>Stop or revalidate before commitment; identify the accessible state that changed; preserve intent; refresh the interpretation without leaking hidden causes.</x:v>
      </x:c>
      <x:c r="O49" s="110" t="str">
        <x:v>Event/record ID; campaign timestamp; state version; ruleset/tuning version where applicable; source/provenance; validator result; committed inputs and output.</x:v>
      </x:c>
      <x:c r="P49" s="110" t="str">
        <x:v>Keyboard and screen-reader operable; semantic status text; no hover, drag, motion, or color-only dependency; concise labels with expandable detail.</x:v>
      </x:c>
      <x:c r="Q49" s="110" t="str">
        <x:v>Death &amp; Continuation</x:v>
      </x:c>
      <x:c r="R49" s="110" t="str">
        <x:v>Immediate Danger</x:v>
      </x:c>
      <x:c r="S49" s="110" t="str">
        <x:v>Critical</x:v>
      </x:c>
      <x:c r="T49" s="110" t="str">
        <x:v>P0</x:v>
      </x:c>
      <x:c r="U49" s="110" t="str">
        <x:v>Covered</x:v>
      </x:c>
      <x:c r="V49" s="110" t="str"/>
      <x:c r="W49" s="110" t="str"/>
      <x:c r="X49" s="111" t="n">
        <x:f>COUNTA(K49:N49)/4</x:f>
        <x:v>1</x:v>
      </x:c>
      <x:c r="Y49" s="111" t="n">
        <x:f>COUNTA(F49:R49)/13</x:f>
        <x:v>1</x:v>
      </x:c>
      <x:c r="Z49" s="110" t="str">
        <x:f>IF(OR(U49="Gap",U49="Decision Required",S49="Critical",X49&lt;1,Y49&lt;1),"REVIEW","READY")</x:f>
        <x:v>REVIEW</x:v>
      </x:c>
    </x:row>
    <x:row r="50" ht="64" customHeight="1">
      <x:c r="A50" s="110" t="str">
        <x:v>COM-009</x:v>
      </x:c>
      <x:c r="B50" s="110" t="str">
        <x:v>Combat, Damage &amp; Recovery</x:v>
      </x:c>
      <x:c r="C50" s="110" t="str">
        <x:v>Dying, death, destruction, and soul jurisdiction</x:v>
      </x:c>
      <x:c r="D50" s="110" t="str">
        <x:v>Mythic_Superhero_RPG_World_Constitution_v1.md — §6 Souls/Death; §17 Dying; §37 Divine Death</x:v>
      </x:c>
      <x:c r="E50" s="110" t="str">
        <x:v>When the entity or event becomes relevant to the active viewpoint.</x:v>
      </x:c>
      <x:c r="F50" s="110" t="str">
        <x:v>Stabilization/deterioration, visible Wounds, known claims, available help, Threshold state, and permitted continuation routes.</x:v>
      </x:c>
      <x:c r="G50" s="110" t="str">
        <x:v>Only observations, records, communications, and valid inferences in the active character's Knowledge Map.</x:v>
      </x:c>
      <x:c r="H50" s="110" t="str">
        <x:v>Undiscovered jurisdictions, secret Anchors, private psychopomp claims, and unverified Self classification.</x:v>
      </x:c>
      <x:c r="I50" s="110" t="str">
        <x:v>Stabilize, assist, bargain, contest, escape, continue as ghost/afterlife, seek return, or select successor.</x:v>
      </x:c>
      <x:c r="J50" s="110" t="str">
        <x:v>Protagonist transition, resurrection method, vessel choice, and successor require explicit player control.</x:v>
      </x:c>
      <x:c r="K50" s="110" t="str">
        <x:v>Death is real, recorded, and playable through its actual jurisdiction.</x:v>
      </x:c>
      <x:c r="L50" s="110" t="str">
        <x:v>No silent respawn, event rewind, or casual declaration that a Returned character is not real.</x:v>
      </x:c>
      <x:c r="M50" s="110" t="str">
        <x:v>Show honest queued/loading/pending state; preserve the player's draft and current world version; do not imply completion.</x:v>
      </x:c>
      <x:c r="N50" s="110" t="str">
        <x:v>Stop or revalidate before commitment; identify the accessible state that changed; preserve intent; refresh the interpretation without leaking hidden causes.</x:v>
      </x:c>
      <x:c r="O50" s="110" t="str">
        <x:v>Event/record ID; campaign timestamp; state version; ruleset/tuning version where applicable; source/provenance; validator result; committed inputs and output.</x:v>
      </x:c>
      <x:c r="P50" s="110" t="str">
        <x:v>Keyboard and screen-reader operable; semantic status text; no hover, drag, motion, or color-only dependency; concise labels with expandable detail.</x:v>
      </x:c>
      <x:c r="Q50" s="110" t="str">
        <x:v>Death &amp; Continuation</x:v>
      </x:c>
      <x:c r="R50" s="110" t="str">
        <x:v>Living Stage</x:v>
      </x:c>
      <x:c r="S50" s="110" t="str">
        <x:v>Critical</x:v>
      </x:c>
      <x:c r="T50" s="110" t="str">
        <x:v>P0</x:v>
      </x:c>
      <x:c r="U50" s="110" t="str">
        <x:v>Covered</x:v>
      </x:c>
      <x:c r="V50" s="110" t="str"/>
      <x:c r="W50" s="110" t="str"/>
      <x:c r="X50" s="111" t="n">
        <x:f>COUNTA(K50:N50)/4</x:f>
        <x:v>1</x:v>
      </x:c>
      <x:c r="Y50" s="111" t="n">
        <x:f>COUNTA(F50:R50)/13</x:f>
        <x:v>1</x:v>
      </x:c>
      <x:c r="Z50" s="110" t="str">
        <x:f>IF(OR(U50="Gap",U50="Decision Required",S50="Critical",X50&lt;1,Y50&lt;1),"REVIEW","READY")</x:f>
        <x:v>REVIEW</x:v>
      </x:c>
    </x:row>
    <x:row r="51" ht="64" customHeight="1">
      <x:c r="A51" s="110" t="str">
        <x:v>COM-010</x:v>
      </x:c>
      <x:c r="B51" s="110" t="str">
        <x:v>Combat, Damage &amp; Recovery</x:v>
      </x:c>
      <x:c r="C51" s="110" t="str">
        <x:v>Breather, Full Rest, Recovery Dice, healing, and treatment</x:v>
      </x:c>
      <x:c r="D51" s="110" t="str">
        <x:v>Mythic_Superhero_RPG_World_Constitution_v1.md — §17 Recovery/Healing; §23 Rest Quality</x:v>
      </x:c>
      <x:c r="E51" s="110" t="str">
        <x:v>When the entity or event becomes relevant to the active viewpoint.</x:v>
      </x:c>
      <x:c r="F51" s="110" t="str">
        <x:v>Time, safety, necessities, projected Rest Quality, dice available, effective maxima, Wound progress, and world-time consequences.</x:v>
      </x:c>
      <x:c r="G51" s="110" t="str">
        <x:v>Only observations, records, communications, and valid inferences in the active character's Knowledge Map.</x:v>
      </x:c>
      <x:c r="H51" s="110" t="str">
        <x:v>Unknown interruptions are not promised absent; forecasts remain assumption-labeled.</x:v>
      </x:c>
      <x:c r="I51" s="110" t="str">
        <x:v>Breathe, spend dice, assign recovery, rest, guard, treat, interrupt, or seek compatible care.</x:v>
      </x:c>
      <x:c r="J51" s="110" t="str">
        <x:v>Confirm long rest/time advancement through known deadlines; irreversible treatment costs remain explicit.</x:v>
      </x:c>
      <x:c r="K51" s="110" t="str">
        <x:v>Resources restore only as allowed; persistent Wounds require actual treatment.</x:v>
      </x:c>
      <x:c r="L51" s="110" t="str">
        <x:v>Interrupted/poor rest preserves completed hours and shows actual quality; leveling is never a hidden full heal.</x:v>
      </x:c>
      <x:c r="M51" s="110" t="str">
        <x:v>Show honest queued/loading/pending state; preserve the player's draft and current world version; do not imply completion.</x:v>
      </x:c>
      <x:c r="N51" s="110" t="str">
        <x:v>Stop or revalidate before commitment; identify the accessible state that changed; preserve intent; refresh the interpretation without leaking hidden causes.</x:v>
      </x:c>
      <x:c r="O51" s="110" t="str">
        <x:v>Event/record ID; campaign timestamp; state version; ruleset/tuning version where applicable; source/provenance; validator result; committed inputs and output.</x:v>
      </x:c>
      <x:c r="P51" s="110" t="str">
        <x:v>Keyboard and screen-reader operable; semantic status text; no hover, drag, motion, or color-only dependency; concise labels with expandable detail.</x:v>
      </x:c>
      <x:c r="Q51" s="110" t="str">
        <x:v>Travel &amp; Survival</x:v>
      </x:c>
      <x:c r="R51" s="110" t="str">
        <x:v>Character</x:v>
      </x:c>
      <x:c r="S51" s="110" t="str">
        <x:v>High</x:v>
      </x:c>
      <x:c r="T51" s="110" t="str">
        <x:v>P1</x:v>
      </x:c>
      <x:c r="U51" s="110" t="str">
        <x:v>Covered</x:v>
      </x:c>
      <x:c r="V51" s="110" t="str"/>
      <x:c r="W51" s="110" t="str"/>
      <x:c r="X51" s="111" t="n">
        <x:f>COUNTA(K51:N51)/4</x:f>
        <x:v>1</x:v>
      </x:c>
      <x:c r="Y51" s="111" t="n">
        <x:f>COUNTA(F51:R51)/13</x:f>
        <x:v>1</x:v>
      </x:c>
      <x:c r="Z51" s="110" t="str">
        <x:f>IF(OR(U51="Gap",U51="Decision Required",S51="Critical",X51&lt;1,Y51&lt;1),"REVIEW","READY")</x:f>
        <x:v>READY</x:v>
      </x:c>
    </x:row>
    <x:row r="52" ht="64" customHeight="1">
      <x:c r="A52" s="110" t="str">
        <x:v>COM-011</x:v>
      </x:c>
      <x:c r="B52" s="110" t="str">
        <x:v>Combat, Damage &amp; Recovery</x:v>
      </x:c>
      <x:c r="C52" s="110" t="str">
        <x:v>Hazards, exposure, afflictions, fire, suffocation, and structures</x:v>
      </x:c>
      <x:c r="D52" s="110" t="str">
        <x:v>Mythic_Superhero_RPG_World_Constitution_v1.md — §18 Conditions/Hazards/Environment</x:v>
      </x:c>
      <x:c r="E52" s="110" t="str">
        <x:v>When the entity or event becomes relevant to the active viewpoint.</x:v>
      </x:c>
      <x:c r="F52" s="110" t="str">
        <x:v>Perceived hazard, intensity/rating when known, trigger evidence, current load/stage, affected zone, protection, and known mitigation.</x:v>
      </x:c>
      <x:c r="G52" s="110" t="str">
        <x:v>Only observations, records, communications, and valid inferences in the active character's Knowledge Map.</x:v>
      </x:c>
      <x:c r="H52" s="110" t="str">
        <x:v>Undetected hazards, concealed triggers, and precommitted terminal effects until discovered.</x:v>
      </x:c>
      <x:c r="I52" s="110" t="str">
        <x:v>Avoid, withstand, disarm, extinguish, treat, exploit, destroy, flee, or accept a declared risk.</x:v>
      </x:c>
      <x:c r="J52" s="110" t="str">
        <x:v>Entering known severe exposure or destructive mitigation receives material-risk confirmation.</x:v>
      </x:c>
      <x:c r="K52" s="110" t="str">
        <x:v>Hazards keep fixed world ratings and persistent state.</x:v>
      </x:c>
      <x:c r="L52" s="110" t="str">
        <x:v>Failure invokes only precommitted effects; hazards do not rise to match player Level.</x:v>
      </x:c>
      <x:c r="M52" s="110" t="str">
        <x:v>Show honest queued/loading/pending state; preserve the player's draft and current world version; do not imply completion.</x:v>
      </x:c>
      <x:c r="N52" s="110" t="str">
        <x:v>Stop or revalidate before commitment; identify the accessible state that changed; preserve intent; refresh the interpretation without leaking hidden causes.</x:v>
      </x:c>
      <x:c r="O52" s="110" t="str">
        <x:v>Event/record ID; campaign timestamp; state version; ruleset/tuning version where applicable; source/provenance; validator result; committed inputs and output.</x:v>
      </x:c>
      <x:c r="P52" s="110" t="str">
        <x:v>Keyboard and screen-reader operable; semantic status text; no hover, drag, motion, or color-only dependency; concise labels with expandable detail.</x:v>
      </x:c>
      <x:c r="Q52" s="110" t="str">
        <x:v>Living Stage</x:v>
      </x:c>
      <x:c r="R52" s="110" t="str">
        <x:v>Immediate Danger</x:v>
      </x:c>
      <x:c r="S52" s="110" t="str">
        <x:v>Critical</x:v>
      </x:c>
      <x:c r="T52" s="110" t="str">
        <x:v>P0</x:v>
      </x:c>
      <x:c r="U52" s="110" t="str">
        <x:v>Covered</x:v>
      </x:c>
      <x:c r="V52" s="110" t="str"/>
      <x:c r="W52" s="110" t="str"/>
      <x:c r="X52" s="111" t="n">
        <x:f>COUNTA(K52:N52)/4</x:f>
        <x:v>1</x:v>
      </x:c>
      <x:c r="Y52" s="111" t="n">
        <x:f>COUNTA(F52:R52)/13</x:f>
        <x:v>1</x:v>
      </x:c>
      <x:c r="Z52" s="110" t="str">
        <x:f>IF(OR(U52="Gap",U52="Decision Required",S52="Critical",X52&lt;1,Y52&lt;1),"REVIEW","READY")</x:f>
        <x:v>REVIEW</x:v>
      </x:c>
    </x:row>
    <x:row r="53" ht="64" customHeight="1">
      <x:c r="A53" s="110" t="str">
        <x:v>COM-012</x:v>
      </x:c>
      <x:c r="B53" s="110" t="str">
        <x:v>Combat, Damage &amp; Recovery</x:v>
      </x:c>
      <x:c r="C53" s="110" t="str">
        <x:v>NPC morale, cohorts, and surrender</x:v>
      </x:c>
      <x:c r="D53" s="110" t="str">
        <x:v>Mythic_Superhero_RPG_World_Constitution_v1.md — §18 NPC Morale/Minions/Cohorts</x:v>
      </x:c>
      <x:c r="E53" s="110" t="str">
        <x:v>When the entity or event becomes relevant to the active viewpoint.</x:v>
      </x:c>
      <x:c r="F53" s="110" t="str">
        <x:v>Observable formation, casualties, morale behavior, surrender/retreat, and unit disposition.</x:v>
      </x:c>
      <x:c r="G53" s="110" t="str">
        <x:v>Only observations, records, communications, and valid inferences in the active character's Knowledge Map.</x:v>
      </x:c>
      <x:c r="H53" s="110" t="str">
        <x:v>Exact morale values, Drives, and command options unless discovered.</x:v>
      </x:c>
      <x:c r="I53" s="110" t="str">
        <x:v>Pressure, negotiate, accept/reject surrender, pursue, rescue, capture, or continue attacking with consequences.</x:v>
      </x:c>
      <x:c r="J53" s="110" t="str">
        <x:v>Continuing lethal action against surrendering/helpless targets confirms intent when material.</x:v>
      </x:c>
      <x:c r="K53" s="110" t="str">
        <x:v>Autonomous NPCs choose among rules-valid morale outcomes using actual knowledge and Drives.</x:v>
      </x:c>
      <x:c r="L53" s="110" t="str">
        <x:v>Morale never preserves a planned plot or forces player-character decisions.</x:v>
      </x:c>
      <x:c r="M53" s="110" t="str">
        <x:v>Show honest queued/loading/pending state; preserve the player's draft and current world version; do not imply completion.</x:v>
      </x:c>
      <x:c r="N53" s="110" t="str">
        <x:v>Stop or revalidate before commitment; identify the accessible state that changed; preserve intent; refresh the interpretation without leaking hidden causes.</x:v>
      </x:c>
      <x:c r="O53" s="110" t="str">
        <x:v>Event/record ID; campaign timestamp; state version; ruleset/tuning version where applicable; source/provenance; validator result; committed inputs and output.</x:v>
      </x:c>
      <x:c r="P53" s="110" t="str">
        <x:v>Keyboard and screen-reader operable; semantic status text; no hover, drag, motion, or color-only dependency; concise labels with expandable detail.</x:v>
      </x:c>
      <x:c r="Q53" s="110" t="str">
        <x:v>Immediate Danger</x:v>
      </x:c>
      <x:c r="R53" s="110" t="str">
        <x:v>Party &amp; Relationships</x:v>
      </x:c>
      <x:c r="S53" s="110" t="str">
        <x:v>High</x:v>
      </x:c>
      <x:c r="T53" s="110" t="str">
        <x:v>P1</x:v>
      </x:c>
      <x:c r="U53" s="110" t="str">
        <x:v>Covered</x:v>
      </x:c>
      <x:c r="V53" s="110" t="str"/>
      <x:c r="W53" s="110" t="str"/>
      <x:c r="X53" s="111" t="n">
        <x:f>COUNTA(K53:N53)/4</x:f>
        <x:v>1</x:v>
      </x:c>
      <x:c r="Y53" s="111" t="n">
        <x:f>COUNTA(F53:R53)/13</x:f>
        <x:v>1</x:v>
      </x:c>
      <x:c r="Z53" s="110" t="str">
        <x:f>IF(OR(U53="Gap",U53="Decision Required",S53="Critical",X53&lt;1,Y53&lt;1),"REVIEW","READY")</x:f>
        <x:v>READY</x:v>
      </x:c>
    </x:row>
    <x:row r="54" ht="64" customHeight="1">
      <x:c r="A54" s="110" t="str">
        <x:v>INV-001</x:v>
      </x:c>
      <x:c r="B54" s="110" t="str">
        <x:v>Inventory, Equipment &amp; Craft</x:v>
      </x:c>
      <x:c r="C54" s="110" t="str">
        <x:v>Item identity, location, custody, ownership, authorization, and entitlement</x:v>
      </x:c>
      <x:c r="D54" s="110" t="str">
        <x:v>Mythic_Superhero_RPG_World_Constitution_v1.md — §19 Universal Item Record/Entitlement</x:v>
      </x:c>
      <x:c r="E54" s="110" t="str">
        <x:v>When the entity or event becomes relevant to the active viewpoint.</x:v>
      </x:c>
      <x:c r="F54" s="110" t="str">
        <x:v>Exact accessible item instance, holder/container/location, access state, owner/possessor, theft/seizure status, condition, provenance, and entitlement.</x:v>
      </x:c>
      <x:c r="G54" s="110" t="str">
        <x:v>Only observations, records, communications, and valid inferences in the active character's Knowledge Map.</x:v>
      </x:c>
      <x:c r="H54" s="110" t="str">
        <x:v>Hidden caches and undiscovered evidence/ownership claims.</x:v>
      </x:c>
      <x:c r="I54" s="110" t="str">
        <x:v>Inspect, hold, stow, transfer, lend, gift, sell, steal, abandon, claim, or dispute ownership.</x:v>
      </x:c>
      <x:c r="J54" s="110" t="str">
        <x:v>Sale, gift, abandonment, destruction, and ownership transfer require explicit target and terms.</x:v>
      </x:c>
      <x:c r="K54" s="110" t="str">
        <x:v>Custody and ownership update separately and persist.</x:v>
      </x:c>
      <x:c r="L54" s="110" t="str">
        <x:v>Lost Signature Equipment becomes a recoverable world problem; ordinary items never respawn.</x:v>
      </x:c>
      <x:c r="M54" s="110" t="str">
        <x:v>Show honest queued/loading/pending state; preserve the player's draft and current world version; do not imply completion.</x:v>
      </x:c>
      <x:c r="N54" s="110" t="str">
        <x:v>Stop or revalidate before commitment; identify the accessible state that changed; preserve intent; refresh the interpretation without leaking hidden causes.</x:v>
      </x:c>
      <x:c r="O54" s="110" t="str">
        <x:v>Event/record ID; campaign timestamp; state version; ruleset/tuning version where applicable; source/provenance; validator result; committed inputs and output.</x:v>
      </x:c>
      <x:c r="P54" s="110" t="str">
        <x:v>Keyboard and screen-reader operable; semantic status text; no hover, drag, motion, or color-only dependency; concise labels with expandable detail.</x:v>
      </x:c>
      <x:c r="Q54" s="110" t="str">
        <x:v>Inventory &amp; Equipment</x:v>
      </x:c>
      <x:c r="R54" s="110" t="str">
        <x:v>Context Lens</x:v>
      </x:c>
      <x:c r="S54" s="110" t="str">
        <x:v>Critical</x:v>
      </x:c>
      <x:c r="T54" s="110" t="str">
        <x:v>P0</x:v>
      </x:c>
      <x:c r="U54" s="110" t="str">
        <x:v>Covered</x:v>
      </x:c>
      <x:c r="V54" s="110" t="str"/>
      <x:c r="W54" s="110" t="str"/>
      <x:c r="X54" s="111" t="n">
        <x:f>COUNTA(K54:N54)/4</x:f>
        <x:v>1</x:v>
      </x:c>
      <x:c r="Y54" s="111" t="n">
        <x:f>COUNTA(F54:R54)/13</x:f>
        <x:v>1</x:v>
      </x:c>
      <x:c r="Z54" s="110" t="str">
        <x:f>IF(OR(U54="Gap",U54="Decision Required",S54="Critical",X54&lt;1,Y54&lt;1),"REVIEW","READY")</x:f>
        <x:v>REVIEW</x:v>
      </x:c>
    </x:row>
    <x:row r="55" ht="64" customHeight="1">
      <x:c r="A55" s="110" t="str">
        <x:v>INV-002</x:v>
      </x:c>
      <x:c r="B55" s="110" t="str">
        <x:v>Inventory, Equipment &amp; Craft</x:v>
      </x:c>
      <x:c r="C55" s="110" t="str">
        <x:v>Bulk, Carry Capacity, Ready Slots, and access state</x:v>
      </x:c>
      <x:c r="D55" s="110" t="str">
        <x:v>Mythic_Superhero_RPG_World_Constitution_v1.md — §19 Bulk/Ready Loadout</x:v>
      </x:c>
      <x:c r="E55" s="110" t="str">
        <x:v>When the entity or event becomes relevant to the active viewpoint.</x:v>
      </x:c>
      <x:c r="F55" s="110" t="str">
        <x:v>Total Bulk, capacity thresholds, movement/check consequences, Ready Slot use, and retrieval cost.</x:v>
      </x:c>
      <x:c r="G55" s="110" t="str">
        <x:v>Only observations, records, communications, and valid inferences in the active character's Knowledge Map.</x:v>
      </x:c>
      <x:c r="H55" s="110" t="str">
        <x:v>No retroactive hidden inventory or undeclared encounter loadout.</x:v>
      </x:c>
      <x:c r="I55" s="110" t="str">
        <x:v>Equip, ready, pack, cache, drop, transfer, drag, transport, or reduce load.</x:v>
      </x:c>
      <x:c r="J55" s="110" t="str">
        <x:v>Dropping/abandoning valuable or unique items receives confirmation; routine stow/equip does not.</x:v>
      </x:c>
      <x:c r="K55" s="110" t="str">
        <x:v>Load changes update movement, available actions, and visible carried state.</x:v>
      </x:c>
      <x:c r="L55" s="110" t="str">
        <x:v>Above hard limit requires actual lifting/transport; zero-Bulk cannot create infinite inventory.</x:v>
      </x:c>
      <x:c r="M55" s="110" t="str">
        <x:v>Show honest queued/loading/pending state; preserve the player's draft and current world version; do not imply completion.</x:v>
      </x:c>
      <x:c r="N55" s="110" t="str">
        <x:v>Stop or revalidate before commitment; identify the accessible state that changed; preserve intent; refresh the interpretation without leaking hidden causes.</x:v>
      </x:c>
      <x:c r="O55" s="110" t="str">
        <x:v>Event/record ID; campaign timestamp; state version; ruleset/tuning version where applicable; source/provenance; validator result; committed inputs and output.</x:v>
      </x:c>
      <x:c r="P55" s="110" t="str">
        <x:v>Keyboard and screen-reader operable; semantic status text; no hover, drag, motion, or color-only dependency; concise labels with expandable detail.</x:v>
      </x:c>
      <x:c r="Q55" s="110" t="str">
        <x:v>Inventory &amp; Equipment</x:v>
      </x:c>
      <x:c r="R55" s="110" t="str">
        <x:v>Character</x:v>
      </x:c>
      <x:c r="S55" s="110" t="str">
        <x:v>High</x:v>
      </x:c>
      <x:c r="T55" s="110" t="str">
        <x:v>P1</x:v>
      </x:c>
      <x:c r="U55" s="110" t="str">
        <x:v>Covered</x:v>
      </x:c>
      <x:c r="V55" s="110" t="str"/>
      <x:c r="W55" s="110" t="str"/>
      <x:c r="X55" s="111" t="n">
        <x:f>COUNTA(K55:N55)/4</x:f>
        <x:v>1</x:v>
      </x:c>
      <x:c r="Y55" s="111" t="n">
        <x:f>COUNTA(F55:R55)/13</x:f>
        <x:v>1</x:v>
      </x:c>
      <x:c r="Z55" s="110" t="str">
        <x:f>IF(OR(U55="Gap",U55="Decision Required",S55="Critical",X55&lt;1,Y55&lt;1),"REVIEW","READY")</x:f>
        <x:v>READY</x:v>
      </x:c>
    </x:row>
    <x:row r="56" ht="64" customHeight="1">
      <x:c r="A56" s="110" t="str">
        <x:v>INV-003</x:v>
      </x:c>
      <x:c r="B56" s="110" t="str">
        <x:v>Inventory, Equipment &amp; Craft</x:v>
      </x:c>
      <x:c r="C56" s="110" t="str">
        <x:v>Ammunition, magazines, charges, fuel, and consumables</x:v>
      </x:c>
      <x:c r="D56" s="110" t="str">
        <x:v>Mythic_Superhero_RPG_World_Constitution_v1.md — §20 Ammunition/Consumables; §19 Item Record</x:v>
      </x:c>
      <x:c r="E56" s="110" t="str">
        <x:v>When the entity or event becomes relevant to the active viewpoint.</x:v>
      </x:c>
      <x:c r="F56" s="110" t="str">
        <x:v>Exact quantity, chamber/cell/magazine state, compatible type, reload/use action, depleted/spent state, and current container.</x:v>
      </x:c>
      <x:c r="G56" s="110" t="str">
        <x:v>Only observations, records, communications, and valid inferences in the active character's Knowledge Map.</x:v>
      </x:c>
      <x:c r="H56" s="110" t="str">
        <x:v>Other actors' inventory and hidden resupply.</x:v>
      </x:c>
      <x:c r="I56" s="110" t="str">
        <x:v>Use, reload, retain/drop partial magazine, change ammo, transfer, conserve, refuel, or improvise.</x:v>
      </x:c>
      <x:c r="J56" s="110" t="str">
        <x:v>Single-use rare items, hazardous doses, or destructive explosives require known-risk confirmation.</x:v>
      </x:c>
      <x:c r="K56" s="110" t="str">
        <x:v>Use consumes the exact item/round and updates visible continuity.</x:v>
      </x:c>
      <x:c r="L56" s="110" t="str">
        <x:v>Empty items cannot act; ammunition never refills because narration omitted tracking.</x:v>
      </x:c>
      <x:c r="M56" s="110" t="str">
        <x:v>Show honest queued/loading/pending state; preserve the player's draft and current world version; do not imply completion.</x:v>
      </x:c>
      <x:c r="N56" s="110" t="str">
        <x:v>Stop or revalidate before commitment; identify the accessible state that changed; preserve intent; refresh the interpretation without leaking hidden causes.</x:v>
      </x:c>
      <x:c r="O56" s="110" t="str">
        <x:v>Event/record ID; campaign timestamp; state version; ruleset/tuning version where applicable; source/provenance; validator result; committed inputs and output.</x:v>
      </x:c>
      <x:c r="P56" s="110" t="str">
        <x:v>Keyboard and screen-reader operable; semantic status text; no hover, drag, motion, or color-only dependency; concise labels with expandable detail.</x:v>
      </x:c>
      <x:c r="Q56" s="110" t="str">
        <x:v>Inventory &amp; Equipment</x:v>
      </x:c>
      <x:c r="R56" s="110" t="str">
        <x:v>Immediate Danger</x:v>
      </x:c>
      <x:c r="S56" s="110" t="str">
        <x:v>Critical</x:v>
      </x:c>
      <x:c r="T56" s="110" t="str">
        <x:v>P0</x:v>
      </x:c>
      <x:c r="U56" s="110" t="str">
        <x:v>Covered</x:v>
      </x:c>
      <x:c r="V56" s="110" t="str"/>
      <x:c r="W56" s="110" t="str"/>
      <x:c r="X56" s="111" t="n">
        <x:f>COUNTA(K56:N56)/4</x:f>
        <x:v>1</x:v>
      </x:c>
      <x:c r="Y56" s="111" t="n">
        <x:f>COUNTA(F56:R56)/13</x:f>
        <x:v>1</x:v>
      </x:c>
      <x:c r="Z56" s="110" t="str">
        <x:f>IF(OR(U56="Gap",U56="Decision Required",S56="Critical",X56&lt;1,Y56&lt;1),"REVIEW","READY")</x:f>
        <x:v>REVIEW</x:v>
      </x:c>
    </x:row>
    <x:row r="57" ht="64" customHeight="1">
      <x:c r="A57" s="110" t="str">
        <x:v>INV-004</x:v>
      </x:c>
      <x:c r="B57" s="110" t="str">
        <x:v>Inventory, Equipment &amp; Craft</x:v>
      </x:c>
      <x:c r="C57" s="110" t="str">
        <x:v>Equipment comparison, equip, and requirements</x:v>
      </x:c>
      <x:c r="D57" s="110" t="str">
        <x:v>Mythic_Superhero_RPG_World_Constitution_v1.md — §19 Item Rank/Quality; §20 Weapons/Armor</x:v>
      </x:c>
      <x:c r="E57" s="110" t="str">
        <x:v>When the entity or event becomes relevant to the active viewpoint.</x:v>
      </x:c>
      <x:c r="F57" s="110" t="str">
        <x:v>Known effect/rank/scale, damage/protection, Bulk, hands, requirements, properties, condition, legality, price, and currently equipped comparison.</x:v>
      </x:c>
      <x:c r="G57" s="110" t="str">
        <x:v>Only observations, records, communications, and valid inferences in the active character's Knowledge Map.</x:v>
      </x:c>
      <x:c r="H57" s="110" t="str">
        <x:v>Undiscovered curses, faults, and functions remain labeled unknown rather than absent.</x:v>
      </x:c>
      <x:c r="I57" s="110" t="str">
        <x:v>Compare, equip, attune when applicable, test safely, repair, sell, or decline.</x:v>
      </x:c>
      <x:c r="J57" s="110" t="str">
        <x:v>Integrated replacement, destructive swap, or abandoning current item requires confirmation.</x:v>
      </x:c>
      <x:c r="K57" s="110" t="str">
        <x:v>Comparison separates construction quality, current condition, and character entitlement.</x:v>
      </x:c>
      <x:c r="L57" s="110" t="str">
        <x:v>Possessing higher-rank gear does not imply control or understanding.</x:v>
      </x:c>
      <x:c r="M57" s="110" t="str">
        <x:v>Show honest queued/loading/pending state; preserve the player's draft and current world version; do not imply completion.</x:v>
      </x:c>
      <x:c r="N57" s="110" t="str">
        <x:v>Stop or revalidate before commitment; identify the accessible state that changed; preserve intent; refresh the interpretation without leaking hidden causes.</x:v>
      </x:c>
      <x:c r="O57" s="110" t="str">
        <x:v>Event/record ID; campaign timestamp; state version; ruleset/tuning version where applicable; source/provenance; validator result; committed inputs and output.</x:v>
      </x:c>
      <x:c r="P57" s="110" t="str">
        <x:v>Keyboard and screen-reader operable; semantic status text; no hover, drag, motion, or color-only dependency; concise labels with expandable detail.</x:v>
      </x:c>
      <x:c r="Q57" s="110" t="str">
        <x:v>Inventory &amp; Equipment</x:v>
      </x:c>
      <x:c r="R57" s="110" t="str">
        <x:v>Context Lens</x:v>
      </x:c>
      <x:c r="S57" s="110" t="str">
        <x:v>High</x:v>
      </x:c>
      <x:c r="T57" s="110" t="str">
        <x:v>P1</x:v>
      </x:c>
      <x:c r="U57" s="110" t="str">
        <x:v>Covered</x:v>
      </x:c>
      <x:c r="V57" s="110" t="str"/>
      <x:c r="W57" s="110" t="str"/>
      <x:c r="X57" s="111" t="n">
        <x:f>COUNTA(K57:N57)/4</x:f>
        <x:v>1</x:v>
      </x:c>
      <x:c r="Y57" s="111" t="n">
        <x:f>COUNTA(F57:R57)/13</x:f>
        <x:v>1</x:v>
      </x:c>
      <x:c r="Z57" s="110" t="str">
        <x:f>IF(OR(U57="Gap",U57="Decision Required",S57="Critical",X57&lt;1,Y57&lt;1),"REVIEW","READY")</x:f>
        <x:v>READY</x:v>
      </x:c>
    </x:row>
    <x:row r="58" ht="64" customHeight="1">
      <x:c r="A58" s="110" t="str">
        <x:v>INV-005</x:v>
      </x:c>
      <x:c r="B58" s="110" t="str">
        <x:v>Inventory, Equipment &amp; Craft</x:v>
      </x:c>
      <x:c r="C58" s="110" t="str">
        <x:v>Availability, acquisition, markets, exact money, and transactions</x:v>
      </x:c>
      <x:c r="D58" s="110" t="str">
        <x:v>Mythic_Superhero_RPG_World_Constitution_v1.md — §19 Economy/Availability/Acquisition</x:v>
      </x:c>
      <x:c r="E58" s="110" t="str">
        <x:v>When the entity or event becomes relevant to the active viewpoint.</x:v>
      </x:c>
      <x:c r="F58" s="110" t="str">
        <x:v>Known seller/source, local and normalized price, stock, legal state, search interval, requirements, risk, and exact payment terms.</x:v>
      </x:c>
      <x:c r="G58" s="110" t="str">
        <x:v>Only observations, records, communications, and valid inferences in the active character's Knowledge Map.</x:v>
      </x:c>
      <x:c r="H58" s="110" t="str">
        <x:v>No willing seller, hidden stock, or private market plan is fabricated by a successful check.</x:v>
      </x:c>
      <x:c r="I58" s="110" t="str">
        <x:v>Search, negotiate, buy, sell, commission, barter, use Contact, steal, rob, counterfeit, or walk away.</x:v>
      </x:c>
      <x:c r="J58" s="110" t="str">
        <x:v>Money/asset/obligation is spent only after accepting the transaction unless predeclared deposit/bribe/scam risk applies.</x:v>
      </x:c>
      <x:c r="K58" s="110" t="str">
        <x:v>Stock and funds update; provenance and evidence persist.</x:v>
      </x:c>
      <x:c r="L58" s="110" t="str">
        <x:v>Failed unchanged search cannot reroll; price never creates availability.</x:v>
      </x:c>
      <x:c r="M58" s="110" t="str">
        <x:v>Show honest queued/loading/pending state; preserve the player's draft and current world version; do not imply completion.</x:v>
      </x:c>
      <x:c r="N58" s="110" t="str">
        <x:v>Stop or revalidate before commitment; identify the accessible state that changed; preserve intent; refresh the interpretation without leaking hidden causes.</x:v>
      </x:c>
      <x:c r="O58" s="110" t="str">
        <x:v>Event/record ID; campaign timestamp; state version; ruleset/tuning version where applicable; source/provenance; validator result; committed inputs and output.</x:v>
      </x:c>
      <x:c r="P58" s="110" t="str">
        <x:v>Keyboard and screen-reader operable; semantic status text; no hover, drag, motion, or color-only dependency; concise labels with expandable detail.</x:v>
      </x:c>
      <x:c r="Q58" s="110" t="str">
        <x:v>Inventory &amp; Equipment</x:v>
      </x:c>
      <x:c r="R58" s="110" t="str">
        <x:v>Law &amp; Reputation</x:v>
      </x:c>
      <x:c r="S58" s="110" t="str">
        <x:v>High</x:v>
      </x:c>
      <x:c r="T58" s="110" t="str">
        <x:v>P1</x:v>
      </x:c>
      <x:c r="U58" s="110" t="str">
        <x:v>Covered</x:v>
      </x:c>
      <x:c r="V58" s="110" t="str"/>
      <x:c r="W58" s="110" t="str"/>
      <x:c r="X58" s="111" t="n">
        <x:f>COUNTA(K58:N58)/4</x:f>
        <x:v>1</x:v>
      </x:c>
      <x:c r="Y58" s="111" t="n">
        <x:f>COUNTA(F58:R58)/13</x:f>
        <x:v>1</x:v>
      </x:c>
      <x:c r="Z58" s="110" t="str">
        <x:f>IF(OR(U58="Gap",U58="Decision Required",S58="Critical",X58&lt;1,Y58&lt;1),"REVIEW","READY")</x:f>
        <x:v>READY</x:v>
      </x:c>
    </x:row>
    <x:row r="59" ht="64" customHeight="1">
      <x:c r="A59" s="110" t="str">
        <x:v>INV-006</x:v>
      </x:c>
      <x:c r="B59" s="110" t="str">
        <x:v>Inventory, Equipment &amp; Craft</x:v>
      </x:c>
      <x:c r="C59" s="110" t="str">
        <x:v>Theft, seizure, confiscation, and recovery</x:v>
      </x:c>
      <x:c r="D59" s="110" t="str">
        <x:v>Mythic_Superhero_RPG_World_Constitution_v1.md — §19 Ownership; §22 Relic Theft; §28 Confinement/Seizure</x:v>
      </x:c>
      <x:c r="E59" s="110" t="str">
        <x:v>When the entity or event becomes relevant to the active viewpoint.</x:v>
      </x:c>
      <x:c r="F59" s="110" t="str">
        <x:v>Item-by-item custody change, authority/claim basis, storage location when known, evidence, and retained ownership/attunement distinctions.</x:v>
      </x:c>
      <x:c r="G59" s="110" t="str">
        <x:v>Only observations, records, communications, and valid inferences in the active character's Knowledge Map.</x:v>
      </x:c>
      <x:c r="H59" s="110" t="str">
        <x:v>Hidden evidence lockers, private seizure plans, and undisclosed legal orders.</x:v>
      </x:c>
      <x:c r="I59" s="110" t="str">
        <x:v>Comply, contest, conceal, resist, steal back, bargain, appeal, escape, or track.</x:v>
      </x:c>
      <x:c r="J59" s="110" t="str">
        <x:v>Voluntary surrender/transfer identifies exact items; mass “hand over everything” can be expanded before commit.</x:v>
      </x:c>
      <x:c r="K59" s="110" t="str">
        <x:v>Seizure changes custody without erasing ownership, Claim, Bond, or history.</x:v>
      </x:c>
      <x:c r="L59" s="110" t="str">
        <x:v>Items do not vanish from the world or return automatically.</x:v>
      </x:c>
      <x:c r="M59" s="110" t="str">
        <x:v>Show honest queued/loading/pending state; preserve the player's draft and current world version; do not imply completion.</x:v>
      </x:c>
      <x:c r="N59" s="110" t="str">
        <x:v>Stop or revalidate before commitment; identify the accessible state that changed; preserve intent; refresh the interpretation without leaking hidden causes.</x:v>
      </x:c>
      <x:c r="O59" s="110" t="str">
        <x:v>Event/record ID; campaign timestamp; state version; ruleset/tuning version where applicable; source/provenance; validator result; committed inputs and output.</x:v>
      </x:c>
      <x:c r="P59" s="110" t="str">
        <x:v>Keyboard and screen-reader operable; semantic status text; no hover, drag, motion, or color-only dependency; concise labels with expandable detail.</x:v>
      </x:c>
      <x:c r="Q59" s="110" t="str">
        <x:v>Inventory &amp; Equipment</x:v>
      </x:c>
      <x:c r="R59" s="110" t="str">
        <x:v>Law &amp; Reputation</x:v>
      </x:c>
      <x:c r="S59" s="110" t="str">
        <x:v>Critical</x:v>
      </x:c>
      <x:c r="T59" s="110" t="str">
        <x:v>P0</x:v>
      </x:c>
      <x:c r="U59" s="110" t="str">
        <x:v>Covered</x:v>
      </x:c>
      <x:c r="V59" s="110" t="str"/>
      <x:c r="W59" s="110" t="str"/>
      <x:c r="X59" s="111" t="n">
        <x:f>COUNTA(K59:N59)/4</x:f>
        <x:v>1</x:v>
      </x:c>
      <x:c r="Y59" s="111" t="n">
        <x:f>COUNTA(F59:R59)/13</x:f>
        <x:v>1</x:v>
      </x:c>
      <x:c r="Z59" s="110" t="str">
        <x:f>IF(OR(U59="Gap",U59="Decision Required",S59="Critical",X59&lt;1,Y59&lt;1),"REVIEW","READY")</x:f>
        <x:v>REVIEW</x:v>
      </x:c>
    </x:row>
    <x:row r="60" ht="64" customHeight="1">
      <x:c r="A60" s="110" t="str">
        <x:v>INV-007</x:v>
      </x:c>
      <x:c r="B60" s="110" t="str">
        <x:v>Inventory, Equipment &amp; Craft</x:v>
      </x:c>
      <x:c r="C60" s="110" t="str">
        <x:v>Integrity, damage, malfunction, breakage, and repair eligibility</x:v>
      </x:c>
      <x:c r="D60" s="110" t="str">
        <x:v>Mythic_Superhero_RPG_World_Constitution_v1.md — §19 Integrity; §20 Malfunctions/Armor Degradation</x:v>
      </x:c>
      <x:c r="E60" s="110" t="str">
        <x:v>When the entity or event becomes relevant to the active viewpoint.</x:v>
      </x:c>
      <x:c r="F60" s="110" t="str">
        <x:v>Current/max Integrity, state threshold, disabled module, visible damage, malfunction inputs when known, and repair requirements.</x:v>
      </x:c>
      <x:c r="G60" s="110" t="str">
        <x:v>Only observations, records, communications, and valid inferences in the active character's Knowledge Map.</x:v>
      </x:c>
      <x:c r="H60" s="110" t="str">
        <x:v>Undiagnosed internal fault remains uncertain until valid inspection.</x:v>
      </x:c>
      <x:c r="I60" s="110" t="str">
        <x:v>Use at risk, stop, field repair, full repair, salvage, replace, or repurpose.</x:v>
      </x:c>
      <x:c r="J60" s="110" t="str">
        <x:v>Using Critical gear with known self-damage/overpressure confirms the cost.</x:v>
      </x:c>
      <x:c r="K60" s="110" t="str">
        <x:v>Damage persists in mechanics and appearance.</x:v>
      </x:c>
      <x:c r="L60" s="110" t="str">
        <x:v>Broken means unusable until causally repaired; no arbitrary ordinary-use degradation.</x:v>
      </x:c>
      <x:c r="M60" s="110" t="str">
        <x:v>Show honest queued/loading/pending state; preserve the player's draft and current world version; do not imply completion.</x:v>
      </x:c>
      <x:c r="N60" s="110" t="str">
        <x:v>Stop or revalidate before commitment; identify the accessible state that changed; preserve intent; refresh the interpretation without leaking hidden causes.</x:v>
      </x:c>
      <x:c r="O60" s="110" t="str">
        <x:v>Event/record ID; campaign timestamp; state version; ruleset/tuning version where applicable; source/provenance; validator result; committed inputs and output.</x:v>
      </x:c>
      <x:c r="P60" s="110" t="str">
        <x:v>Keyboard and screen-reader operable; semantic status text; no hover, drag, motion, or color-only dependency; concise labels with expandable detail.</x:v>
      </x:c>
      <x:c r="Q60" s="110" t="str">
        <x:v>Inventory &amp; Equipment</x:v>
      </x:c>
      <x:c r="R60" s="110" t="str">
        <x:v>Crafting &amp; Projects</x:v>
      </x:c>
      <x:c r="S60" s="110" t="str">
        <x:v>High</x:v>
      </x:c>
      <x:c r="T60" s="110" t="str">
        <x:v>P1</x:v>
      </x:c>
      <x:c r="U60" s="110" t="str">
        <x:v>Covered</x:v>
      </x:c>
      <x:c r="V60" s="110" t="str"/>
      <x:c r="W60" s="110" t="str"/>
      <x:c r="X60" s="111" t="n">
        <x:f>COUNTA(K60:N60)/4</x:f>
        <x:v>1</x:v>
      </x:c>
      <x:c r="Y60" s="111" t="n">
        <x:f>COUNTA(F60:R60)/13</x:f>
        <x:v>1</x:v>
      </x:c>
      <x:c r="Z60" s="110" t="str">
        <x:f>IF(OR(U60="Gap",U60="Decision Required",S60="Critical",X60&lt;1,Y60&lt;1),"REVIEW","READY")</x:f>
        <x:v>READY</x:v>
      </x:c>
    </x:row>
    <x:row r="61" ht="64" customHeight="1">
      <x:c r="A61" s="110" t="str">
        <x:v>INV-008</x:v>
      </x:c>
      <x:c r="B61" s="110" t="str">
        <x:v>Inventory, Equipment &amp; Craft</x:v>
      </x:c>
      <x:c r="C61" s="110" t="str">
        <x:v>Crafting, invention, fabrication, and production project</x:v>
      </x:c>
      <x:c r="D61" s="110" t="str">
        <x:v>Mythic_Superhero_RPG_World_Constitution_v1.md — §21 Project Record/Fabrication/Research</x:v>
      </x:c>
      <x:c r="E61" s="110" t="str">
        <x:v>When the entity or event becomes relevant to the active viewpoint.</x:v>
      </x:c>
      <x:c r="F61" s="110" t="str">
        <x:v>Output, Rank, complexity, Blueprint, facility, tools, materials, DC, progress, interval, costs, hazards, legal/moral consequences, and partial state.</x:v>
      </x:c>
      <x:c r="G61" s="110" t="str">
        <x:v>Only observations, records, communications, and valid inferences in the active character's Knowledge Map.</x:v>
      </x:c>
      <x:c r="H61" s="110" t="str">
        <x:v>Hidden sabotage/contaminant only when preexisting and discoverable; no post-success invented requirement.</x:v>
      </x:c>
      <x:c r="I61" s="110" t="str">
        <x:v>Start, reserve materials, assign workers, assist, pause, resume, change valid method, abandon, or protect project.</x:v>
      </x:c>
      <x:c r="J61" s="110" t="str">
        <x:v>Commit reserved materials, dangerous subjects, prototype risks, and world-time intervals.</x:v>
      </x:c>
      <x:c r="K61" s="110" t="str">
        <x:v>Progress creates a persistent partial project and ultimately a real item/Blueprint.</x:v>
      </x:c>
      <x:c r="L61" s="110" t="str">
        <x:v>Failure spends declared time/cost; catastrophe invokes only precommitted consequence.</x:v>
      </x:c>
      <x:c r="M61" s="110" t="str">
        <x:v>Show honest queued/loading/pending state; preserve the player's draft and current world version; do not imply completion.</x:v>
      </x:c>
      <x:c r="N61" s="110" t="str">
        <x:v>Stop or revalidate before commitment; identify the accessible state that changed; preserve intent; refresh the interpretation without leaking hidden causes.</x:v>
      </x:c>
      <x:c r="O61" s="110" t="str">
        <x:v>Event/record ID; campaign timestamp; state version; ruleset/tuning version where applicable; source/provenance; validator result; committed inputs and output.</x:v>
      </x:c>
      <x:c r="P61" s="110" t="str">
        <x:v>Keyboard and screen-reader operable; semantic status text; no hover, drag, motion, or color-only dependency; concise labels with expandable detail.</x:v>
      </x:c>
      <x:c r="Q61" s="110" t="str">
        <x:v>Crafting &amp; Projects</x:v>
      </x:c>
      <x:c r="R61" s="110" t="str">
        <x:v>Inventory &amp; Equipment</x:v>
      </x:c>
      <x:c r="S61" s="110" t="str">
        <x:v>High</x:v>
      </x:c>
      <x:c r="T61" s="110" t="str">
        <x:v>P1</x:v>
      </x:c>
      <x:c r="U61" s="110" t="str">
        <x:v>Covered</x:v>
      </x:c>
      <x:c r="V61" s="110" t="str"/>
      <x:c r="W61" s="110" t="str"/>
      <x:c r="X61" s="111" t="n">
        <x:f>COUNTA(K61:N61)/4</x:f>
        <x:v>1</x:v>
      </x:c>
      <x:c r="Y61" s="111" t="n">
        <x:f>COUNTA(F61:R61)/13</x:f>
        <x:v>1</x:v>
      </x:c>
      <x:c r="Z61" s="110" t="str">
        <x:f>IF(OR(U61="Gap",U61="Decision Required",S61="Critical",X61&lt;1,Y61&lt;1),"REVIEW","READY")</x:f>
        <x:v>READY</x:v>
      </x:c>
    </x:row>
    <x:row r="62" ht="64" customHeight="1">
      <x:c r="A62" s="110" t="str">
        <x:v>INV-009</x:v>
      </x:c>
      <x:c r="B62" s="110" t="str">
        <x:v>Inventory, Equipment &amp; Craft</x:v>
      </x:c>
      <x:c r="C62" s="110" t="str">
        <x:v>Repair, modification, quality upgrade, reverse engineering, and salvage</x:v>
      </x:c>
      <x:c r="D62" s="110" t="str">
        <x:v>Mythic_Superhero_RPG_World_Constitution_v1.md — §21 Repair/Modification/Reverse Engineering/Salvage</x:v>
      </x:c>
      <x:c r="E62" s="110" t="str">
        <x:v>When the entity or event becomes relevant to the active viewpoint.</x:v>
      </x:c>
      <x:c r="F62" s="110" t="str">
        <x:v>Eligible target/modules, progress, recoverable materials, lost evidence, target quality, requirements, and resulting visual changes.</x:v>
      </x:c>
      <x:c r="G62" s="110" t="str">
        <x:v>Only observations, records, communications, and valid inferences in the active character's Knowledge Map.</x:v>
      </x:c>
      <x:c r="H62" s="110" t="str">
        <x:v>Irreproducible Self, Authority, Name, and unique relationships remain non-copyable.</x:v>
      </x:c>
      <x:c r="I62" s="110" t="str">
        <x:v>Repair, refit, install/remove module, reverse engineer, dismantle, salvage, or stop.</x:v>
      </x:c>
      <x:c r="J62" s="110" t="str">
        <x:v>Destructive disassembly, evidence loss, unique component risk, and irreversible modification require confirmation.</x:v>
      </x:c>
      <x:c r="K62" s="110" t="str">
        <x:v>Outputs are exact items/material lots/Blueprint knowledge with updated provenance.</x:v>
      </x:c>
      <x:c r="L62" s="110" t="str">
        <x:v>Repair never refills ammo or restores unrelated soul/identity state.</x:v>
      </x:c>
      <x:c r="M62" s="110" t="str">
        <x:v>Show honest queued/loading/pending state; preserve the player's draft and current world version; do not imply completion.</x:v>
      </x:c>
      <x:c r="N62" s="110" t="str">
        <x:v>Stop or revalidate before commitment; identify the accessible state that changed; preserve intent; refresh the interpretation without leaking hidden causes.</x:v>
      </x:c>
      <x:c r="O62" s="110" t="str">
        <x:v>Event/record ID; campaign timestamp; state version; ruleset/tuning version where applicable; source/provenance; validator result; committed inputs and output.</x:v>
      </x:c>
      <x:c r="P62" s="110" t="str">
        <x:v>Keyboard and screen-reader operable; semantic status text; no hover, drag, motion, or color-only dependency; concise labels with expandable detail.</x:v>
      </x:c>
      <x:c r="Q62" s="110" t="str">
        <x:v>Crafting &amp; Projects</x:v>
      </x:c>
      <x:c r="R62" s="110" t="str">
        <x:v>Inventory &amp; Equipment</x:v>
      </x:c>
      <x:c r="S62" s="110" t="str">
        <x:v>High</x:v>
      </x:c>
      <x:c r="T62" s="110" t="str">
        <x:v>P1</x:v>
      </x:c>
      <x:c r="U62" s="110" t="str">
        <x:v>Covered</x:v>
      </x:c>
      <x:c r="V62" s="110" t="str"/>
      <x:c r="W62" s="110" t="str"/>
      <x:c r="X62" s="111" t="n">
        <x:f>COUNTA(K62:N62)/4</x:f>
        <x:v>1</x:v>
      </x:c>
      <x:c r="Y62" s="111" t="n">
        <x:f>COUNTA(F62:R62)/13</x:f>
        <x:v>1</x:v>
      </x:c>
      <x:c r="Z62" s="110" t="str">
        <x:f>IF(OR(U62="Gap",U62="Decision Required",S62="Critical",X62&lt;1,Y62&lt;1),"REVIEW","READY")</x:f>
        <x:v>READY</x:v>
      </x:c>
    </x:row>
    <x:row r="63" ht="64" customHeight="1">
      <x:c r="A63" s="110" t="str">
        <x:v>INV-010</x:v>
      </x:c>
      <x:c r="B63" s="110" t="str">
        <x:v>Inventory, Equipment &amp; Craft</x:v>
      </x:c>
      <x:c r="C63" s="110" t="str">
        <x:v>Vehicles, mounts, crew, cargo, fuel, and damage</x:v>
      </x:c>
      <x:c r="D63" s="110" t="str">
        <x:v>Mythic_Superhero_RPG_World_Constitution_v1.md — §24 Vehicles and Mounts; §20 Mounted Weapons</x:v>
      </x:c>
      <x:c r="E63" s="110" t="str">
        <x:v>When the entity or event becomes relevant to the active viewpoint.</x:v>
      </x:c>
      <x:c r="F63" s="110" t="str">
        <x:v>Ownership, operator/crew, passengers, cargo, route compatibility, fuel, rate, protection, damage, disabled systems, and legal state.</x:v>
      </x:c>
      <x:c r="G63" s="110" t="str">
        <x:v>Only observations, records, communications, and valid inferences in the active character's Knowledge Map.</x:v>
      </x:c>
      <x:c r="H63" s="110" t="str">
        <x:v>Undiscovered tracking, sabotage, or route opposition.</x:v>
      </x:c>
      <x:c r="I63" s="110" t="str">
        <x:v>Board, assign roles, drive/pilot, repair, refuel, transfer cargo, pursue, abandon, steal, or use mounted systems.</x:v>
      </x:c>
      <x:c r="J63" s="110" t="str">
        <x:v>Dangerous maneuver, leaving passengers, destructive collision, or scarce fuel commitment shows known stakes.</x:v>
      </x:c>
      <x:c r="K63" s="110" t="str">
        <x:v>Vehicle state persists across travel, combat, and comic continuity.</x:v>
      </x:c>
      <x:c r="L63" s="110" t="str">
        <x:v>Vehicles do not randomly fail for pacing; fuel zero and damage have exact effects.</x:v>
      </x:c>
      <x:c r="M63" s="110" t="str">
        <x:v>Show honest queued/loading/pending state; preserve the player's draft and current world version; do not imply completion.</x:v>
      </x:c>
      <x:c r="N63" s="110" t="str">
        <x:v>Stop or revalidate before commitment; identify the accessible state that changed; preserve intent; refresh the interpretation without leaking hidden causes.</x:v>
      </x:c>
      <x:c r="O63" s="110" t="str">
        <x:v>Event/record ID; campaign timestamp; state version; ruleset/tuning version where applicable; source/provenance; validator result; committed inputs and output.</x:v>
      </x:c>
      <x:c r="P63" s="110" t="str">
        <x:v>Keyboard and screen-reader operable; semantic status text; no hover, drag, motion, or color-only dependency; concise labels with expandable detail.</x:v>
      </x:c>
      <x:c r="Q63" s="110" t="str">
        <x:v>Travel &amp; Survival</x:v>
      </x:c>
      <x:c r="R63" s="110" t="str">
        <x:v>Inventory &amp; Equipment</x:v>
      </x:c>
      <x:c r="S63" s="110" t="str">
        <x:v>High</x:v>
      </x:c>
      <x:c r="T63" s="110" t="str">
        <x:v>P1</x:v>
      </x:c>
      <x:c r="U63" s="110" t="str">
        <x:v>Covered</x:v>
      </x:c>
      <x:c r="V63" s="110" t="str"/>
      <x:c r="W63" s="110" t="str"/>
      <x:c r="X63" s="111" t="n">
        <x:f>COUNTA(K63:N63)/4</x:f>
        <x:v>1</x:v>
      </x:c>
      <x:c r="Y63" s="111" t="n">
        <x:f>COUNTA(F63:R63)/13</x:f>
        <x:v>1</x:v>
      </x:c>
      <x:c r="Z63" s="110" t="str">
        <x:f>IF(OR(U63="Gap",U63="Decision Required",S63="Critical",X63&lt;1,Y63&lt;1),"REVIEW","READY")</x:f>
        <x:v>READY</x:v>
      </x:c>
    </x:row>
    <x:row r="64" ht="64" customHeight="1">
      <x:c r="A64" s="110" t="str">
        <x:v>REL-001</x:v>
      </x:c>
      <x:c r="B64" s="110" t="str">
        <x:v>Relics &amp; Mythic Identity</x:v>
      </x:c>
      <x:c r="C64" s="110" t="str">
        <x:v>Relic identity, Grade, Legend, Name, form, and intrinsic Techniques</x:v>
      </x:c>
      <x:c r="D64" s="110" t="str">
        <x:v>Mythic_Superhero_RPG_World_Constitution_v1.md — §22 Relic Definition/Grades/Points</x:v>
      </x:c>
      <x:c r="E64" s="110" t="str">
        <x:v>When the entity or event becomes relevant to the active viewpoint.</x:v>
      </x:c>
      <x:c r="F64" s="110" t="str">
        <x:v>Known Names/aliases, Grade, witnessed Legend, form, damage, known Techniques, current custody, and Recognition channel.</x:v>
      </x:c>
      <x:c r="G64" s="110" t="str">
        <x:v>Only observations, records, communications, and valid inferences in the active character's Knowledge Map.</x:v>
      </x:c>
      <x:c r="H64" s="110" t="str">
        <x:v>Unknown memories, secrets, Anchors, destruction keys, and private Relic knowledge.</x:v>
      </x:c>
      <x:c r="I64" s="110" t="str">
        <x:v>Inspect, carry, name through play, recognize, research, use accessible functions, invest bearer BP, or leave.</x:v>
      </x:c>
      <x:c r="J64" s="110" t="str">
        <x:v>Naming Event, Relic Point allocation, and permanent bearer investment require explicit review.</x:v>
      </x:c>
      <x:c r="K64" s="110" t="str">
        <x:v>Legend and visual evolution follow actual deeds and Recognition.</x:v>
      </x:c>
      <x:c r="L64" s="110" t="str">
        <x:v>Comedy or obscenity cannot disqualify a true legend; nicknames alone do not grant Grade.</x:v>
      </x:c>
      <x:c r="M64" s="110" t="str">
        <x:v>Show honest queued/loading/pending state; preserve the player's draft and current world version; do not imply completion.</x:v>
      </x:c>
      <x:c r="N64" s="110" t="str">
        <x:v>Stop or revalidate before commitment; identify the accessible state that changed; preserve intent; refresh the interpretation without leaking hidden causes.</x:v>
      </x:c>
      <x:c r="O64" s="110" t="str">
        <x:v>Event/record ID; campaign timestamp; state version; ruleset/tuning version where applicable; source/provenance; validator result; committed inputs and output.</x:v>
      </x:c>
      <x:c r="P64" s="110" t="str">
        <x:v>Keyboard and screen-reader operable; semantic status text; no hover, drag, motion, or color-only dependency; concise labels with expandable detail.</x:v>
      </x:c>
      <x:c r="Q64" s="110" t="str">
        <x:v>Relics &amp; Mythic Identity</x:v>
      </x:c>
      <x:c r="R64" s="110" t="str">
        <x:v>Inventory &amp; Equipment</x:v>
      </x:c>
      <x:c r="S64" s="110" t="str">
        <x:v>Critical</x:v>
      </x:c>
      <x:c r="T64" s="110" t="str">
        <x:v>P1</x:v>
      </x:c>
      <x:c r="U64" s="110" t="str">
        <x:v>Covered</x:v>
      </x:c>
      <x:c r="V64" s="110" t="str"/>
      <x:c r="W64" s="110" t="str"/>
      <x:c r="X64" s="111" t="n">
        <x:f>COUNTA(K64:N64)/4</x:f>
        <x:v>1</x:v>
      </x:c>
      <x:c r="Y64" s="111" t="n">
        <x:f>COUNTA(F64:R64)/13</x:f>
        <x:v>1</x:v>
      </x:c>
      <x:c r="Z64" s="110" t="str">
        <x:f>IF(OR(U64="Gap",U64="Decision Required",S64="Critical",X64&lt;1,Y64&lt;1),"REVIEW","READY")</x:f>
        <x:v>REVIEW</x:v>
      </x:c>
    </x:row>
    <x:row r="65" ht="64" customHeight="1">
      <x:c r="A65" s="110" t="str">
        <x:v>REL-002</x:v>
      </x:c>
      <x:c r="B65" s="110" t="str">
        <x:v>Relics &amp; Mythic Identity</x:v>
      </x:c>
      <x:c r="C65" s="110" t="str">
        <x:v>Relic Agency, intent, lies, negotiation, and refusal</x:v>
      </x:c>
      <x:c r="D65" s="110" t="str">
        <x:v>Mythic_Superhero_RPG_World_Constitution_v1.md — §22 Agency Grades/Autonomous Relics; §29 Relic Agent</x:v>
      </x:c>
      <x:c r="E65" s="110" t="str">
        <x:v>Agency-1+ impulse, communication, choice, request, trigger, or independent plan.</x:v>
      </x:c>
      <x:c r="F65" s="110" t="str">
        <x:v>Observable communication, stated desire/taboo, access response, refusal/counteroffer, current availability, and action outcome.</x:v>
      </x:c>
      <x:c r="G65" s="110" t="str">
        <x:v>Only observations, records, communications, and valid inferences in the active character's Knowledge Map.</x:v>
      </x:c>
      <x:c r="H65" s="110" t="str">
        <x:v>Private Drives, memories, lies classification, secret plans, and inaccessible senses.</x:v>
      </x:c>
      <x:c r="I65" s="110" t="str">
        <x:v>Ask, negotiate, listen, threaten, coerce through valid mechanics, respect refusal, investigate, separate, or cooperate.</x:v>
      </x:c>
      <x:c r="J65" s="110" t="str">
        <x:v>Bearer resources cannot be spent by the Relic without permission except through explicit coercion/possession rules.</x:v>
      </x:c>
      <x:c r="K65" s="110" t="str">
        <x:v>Person-like Relic acts from its own knowledge and contract.</x:v>
      </x:c>
      <x:c r="L65" s="110" t="str">
        <x:v>The UI never treats refusal as a broken inventory action or turns Agency into flavor text.</x:v>
      </x:c>
      <x:c r="M65" s="110" t="str">
        <x:v>Show honest queued/loading/pending state; preserve the player's draft and current world version; do not imply completion.</x:v>
      </x:c>
      <x:c r="N65" s="110" t="str">
        <x:v>Stop or revalidate before commitment; identify the accessible state that changed; preserve intent; refresh the interpretation without leaking hidden causes.</x:v>
      </x:c>
      <x:c r="O65" s="110" t="str">
        <x:v>Event/record ID; campaign timestamp; state version; ruleset/tuning version where applicable; source/provenance; validator result; committed inputs and output.</x:v>
      </x:c>
      <x:c r="P65" s="110" t="str">
        <x:v>Keyboard and screen-reader operable; semantic status text; no hover, drag, motion, or color-only dependency; concise labels with expandable detail.</x:v>
      </x:c>
      <x:c r="Q65" s="110" t="str">
        <x:v>Relics &amp; Mythic Identity</x:v>
      </x:c>
      <x:c r="R65" s="110" t="str">
        <x:v>Living Stage</x:v>
      </x:c>
      <x:c r="S65" s="110" t="str">
        <x:v>Critical</x:v>
      </x:c>
      <x:c r="T65" s="110" t="str">
        <x:v>P0</x:v>
      </x:c>
      <x:c r="U65" s="110" t="str">
        <x:v>Gap</x:v>
      </x:c>
      <x:c r="V65" s="110" t="str">
        <x:v>GAP-004</x:v>
      </x:c>
      <x:c r="W65" s="110" t="str"/>
      <x:c r="X65" s="111" t="n">
        <x:f>COUNTA(K65:N65)/4</x:f>
        <x:v>1</x:v>
      </x:c>
      <x:c r="Y65" s="111" t="n">
        <x:f>COUNTA(F65:R65)/13</x:f>
        <x:v>1</x:v>
      </x:c>
      <x:c r="Z65" s="110" t="str">
        <x:f>IF(OR(U65="Gap",U65="Decision Required",S65="Critical",X65&lt;1,Y65&lt;1),"REVIEW","READY")</x:f>
        <x:v>REVIEW</x:v>
      </x:c>
    </x:row>
    <x:row r="66" ht="64" customHeight="1">
      <x:c r="A66" s="110" t="str">
        <x:v>REL-003</x:v>
      </x:c>
      <x:c r="B66" s="110" t="str">
        <x:v>Relics &amp; Mythic Identity</x:v>
      </x:c>
      <x:c r="C66" s="110" t="str">
        <x:v>Bond, Recognition, access, and bearer relationship</x:v>
      </x:c>
      <x:c r="D66" s="110" t="str">
        <x:v>Mythic_Superhero_RPG_World_Constitution_v1.md — §22 Bond and Recognition</x:v>
      </x:c>
      <x:c r="E66" s="110" t="str">
        <x:v>When the entity or event becomes relevant to the active viewpoint.</x:v>
      </x:c>
      <x:c r="F66" s="110" t="str">
        <x:v>Qualitative relationship state, disclosed reasons/events, accessible function ceiling, grievances, and known changes.</x:v>
      </x:c>
      <x:c r="G66" s="110" t="str">
        <x:v>Only observations, records, communications, and valid inferences in the active character's Knowledge Map.</x:v>
      </x:c>
      <x:c r="H66" s="110" t="str">
        <x:v>Exact private Bond score by default, undisclosed memories, and secret evaluation.</x:v>
      </x:c>
      <x:c r="I66" s="110" t="str">
        <x:v>Build relationship, repair harm, request access, accept boundary, betray, coerce, or separate.</x:v>
      </x:c>
      <x:c r="J66" s="110" t="str">
        <x:v>Defining betrayal, forced use, or relationship-altering bargain requires explicit action confirmation.</x:v>
      </x:c>
      <x:c r="K66" s="110" t="str">
        <x:v>Access follows Bond, Claim, Grade, and prerequisites—not simple possession.</x:v>
      </x:c>
      <x:c r="L66" s="110" t="str">
        <x:v>High Bond never becomes unrestricted obedience.</x:v>
      </x:c>
      <x:c r="M66" s="110" t="str">
        <x:v>Show honest queued/loading/pending state; preserve the player's draft and current world version; do not imply completion.</x:v>
      </x:c>
      <x:c r="N66" s="110" t="str">
        <x:v>Stop or revalidate before commitment; identify the accessible state that changed; preserve intent; refresh the interpretation without leaking hidden causes.</x:v>
      </x:c>
      <x:c r="O66" s="110" t="str">
        <x:v>Event/record ID; campaign timestamp; state version; ruleset/tuning version where applicable; source/provenance; validator result; committed inputs and output.</x:v>
      </x:c>
      <x:c r="P66" s="110" t="str">
        <x:v>Keyboard and screen-reader operable; semantic status text; no hover, drag, motion, or color-only dependency; concise labels with expandable detail.</x:v>
      </x:c>
      <x:c r="Q66" s="110" t="str">
        <x:v>Relics &amp; Mythic Identity</x:v>
      </x:c>
      <x:c r="R66" s="110" t="str">
        <x:v>Party &amp; Relationships</x:v>
      </x:c>
      <x:c r="S66" s="110" t="str">
        <x:v>Critical</x:v>
      </x:c>
      <x:c r="T66" s="110" t="str">
        <x:v>P0</x:v>
      </x:c>
      <x:c r="U66" s="110" t="str">
        <x:v>Gap</x:v>
      </x:c>
      <x:c r="V66" s="110" t="str">
        <x:v>GAP-004</x:v>
      </x:c>
      <x:c r="W66" s="110" t="str"/>
      <x:c r="X66" s="111" t="n">
        <x:f>COUNTA(K66:N66)/4</x:f>
        <x:v>1</x:v>
      </x:c>
      <x:c r="Y66" s="111" t="n">
        <x:f>COUNTA(F66:R66)/13</x:f>
        <x:v>1</x:v>
      </x:c>
      <x:c r="Z66" s="110" t="str">
        <x:f>IF(OR(U66="Gap",U66="Decision Required",S66="Critical",X66&lt;1,Y66&lt;1),"REVIEW","READY")</x:f>
        <x:v>REVIEW</x:v>
      </x:c>
    </x:row>
    <x:row r="67" ht="64" customHeight="1">
      <x:c r="A67" s="110" t="str">
        <x:v>REL-004</x:v>
      </x:c>
      <x:c r="B67" s="110" t="str">
        <x:v>Relics &amp; Mythic Identity</x:v>
      </x:c>
      <x:c r="C67" s="110" t="str">
        <x:v>Attunement, capacity, Load, strain, suppression, and severance</x:v>
      </x:c>
      <x:c r="D67" s="110" t="str">
        <x:v>Mythic_Superhero_RPG_World_Constitution_v1.md — §22 Attunement Procedure/Capacity</x:v>
      </x:c>
      <x:c r="E67" s="110" t="str">
        <x:v>When the entity or event becomes relevant to the active viewpoint.</x:v>
      </x:c>
      <x:c r="F67" s="110" t="str">
        <x:v>Approach, Relic resistance as legally known, Claim conflict, projected Load/strain, DC/progress, intervals, and unlocked access ceiling.</x:v>
      </x:c>
      <x:c r="G67" s="110" t="str">
        <x:v>Only observations, records, communications, and valid inferences in the active character's Knowledge Map.</x:v>
      </x:c>
      <x:c r="H67" s="110" t="str">
        <x:v>Unknown resistance causes, hidden Claims, and private Relic choices.</x:v>
      </x:c>
      <x:c r="I67" s="110" t="str">
        <x:v>Attune, Take 10 when willing/safe, pause, suppress at rest, disattune, seek capacity, force link, or abandon.</x:v>
      </x:c>
      <x:c r="J67" s="110" t="str">
        <x:v>Forced Attunement and over-attunement consequences require explicit confirmation.</x:v>
      </x:c>
      <x:c r="K67" s="110" t="str">
        <x:v>Completion unlocks only permitted functions and updates exact Load.</x:v>
      </x:c>
      <x:c r="L67" s="110" t="str">
        <x:v>Forced link creates no loyalty and applies declared Bond/Claim consequences.</x:v>
      </x:c>
      <x:c r="M67" s="110" t="str">
        <x:v>Show honest queued/loading/pending state; preserve the player's draft and current world version; do not imply completion.</x:v>
      </x:c>
      <x:c r="N67" s="110" t="str">
        <x:v>Stop or revalidate before commitment; identify the accessible state that changed; preserve intent; refresh the interpretation without leaking hidden causes.</x:v>
      </x:c>
      <x:c r="O67" s="110" t="str">
        <x:v>Event/record ID; campaign timestamp; state version; ruleset/tuning version where applicable; source/provenance; validator result; committed inputs and output.</x:v>
      </x:c>
      <x:c r="P67" s="110" t="str">
        <x:v>Keyboard and screen-reader operable; semantic status text; no hover, drag, motion, or color-only dependency; concise labels with expandable detail.</x:v>
      </x:c>
      <x:c r="Q67" s="110" t="str">
        <x:v>Relics &amp; Mythic Identity</x:v>
      </x:c>
      <x:c r="R67" s="110" t="str">
        <x:v>Character</x:v>
      </x:c>
      <x:c r="S67" s="110" t="str">
        <x:v>Critical</x:v>
      </x:c>
      <x:c r="T67" s="110" t="str">
        <x:v>P1</x:v>
      </x:c>
      <x:c r="U67" s="110" t="str">
        <x:v>Covered</x:v>
      </x:c>
      <x:c r="V67" s="110" t="str"/>
      <x:c r="W67" s="110" t="str"/>
      <x:c r="X67" s="111" t="n">
        <x:f>COUNTA(K67:N67)/4</x:f>
        <x:v>1</x:v>
      </x:c>
      <x:c r="Y67" s="111" t="n">
        <x:f>COUNTA(F67:R67)/13</x:f>
        <x:v>1</x:v>
      </x:c>
      <x:c r="Z67" s="110" t="str">
        <x:f>IF(OR(U67="Gap",U67="Decision Required",S67="Critical",X67&lt;1,Y67&lt;1),"REVIEW","READY")</x:f>
        <x:v>REVIEW</x:v>
      </x:c>
    </x:row>
    <x:row r="68" ht="64" customHeight="1">
      <x:c r="A68" s="110" t="str">
        <x:v>REL-005</x:v>
      </x:c>
      <x:c r="B68" s="110" t="str">
        <x:v>Relics &amp; Mythic Identity</x:v>
      </x:c>
      <x:c r="C68" s="110" t="str">
        <x:v>Claim evidence, strength, priority, ownership, and custody</x:v>
      </x:c>
      <x:c r="D68" s="110" t="str">
        <x:v>Mythic_Superhero_RPG_World_Constitution_v1.md — §22 Claims and Contested Priority</x:v>
      </x:c>
      <x:c r="E68" s="110" t="str">
        <x:v>When the entity or event becomes relevant to the active viewpoint.</x:v>
      </x:c>
      <x:c r="F68" s="110" t="str">
        <x:v>Accessible Claim evidence, current priority dispute, known claimants, legal ownership, custody, and effects of the result.</x:v>
      </x:c>
      <x:c r="G68" s="110" t="str">
        <x:v>Only observations, records, communications, and valid inferences in the active character's Knowledge Map.</x:v>
      </x:c>
      <x:c r="H68" s="110" t="str">
        <x:v>Secret claimants/evidence and private succession plans.</x:v>
      </x:c>
      <x:c r="I68" s="110" t="str">
        <x:v>Assert, challenge, gather evidence, bargain, transfer custody, litigate, conquer where recognized, or withdraw.</x:v>
      </x:c>
      <x:c r="J68" s="110" t="str">
        <x:v>Claim contest identifies stakes and what victory does not grant.</x:v>
      </x:c>
      <x:c r="K68" s="110" t="str">
        <x:v>Winning establishes mythic priority only; other relationship/property states remain separate.</x:v>
      </x:c>
      <x:c r="L68" s="110" t="str">
        <x:v>Possession never silently becomes ownership, Attunement, affection, or legal title.</x:v>
      </x:c>
      <x:c r="M68" s="110" t="str">
        <x:v>Show honest queued/loading/pending state; preserve the player's draft and current world version; do not imply completion.</x:v>
      </x:c>
      <x:c r="N68" s="110" t="str">
        <x:v>Stop or revalidate before commitment; identify the accessible state that changed; preserve intent; refresh the interpretation without leaking hidden causes.</x:v>
      </x:c>
      <x:c r="O68" s="110" t="str">
        <x:v>Event/record ID; campaign timestamp; state version; ruleset/tuning version where applicable; source/provenance; validator result; committed inputs and output.</x:v>
      </x:c>
      <x:c r="P68" s="110" t="str">
        <x:v>Keyboard and screen-reader operable; semantic status text; no hover, drag, motion, or color-only dependency; concise labels with expandable detail.</x:v>
      </x:c>
      <x:c r="Q68" s="110" t="str">
        <x:v>Relics &amp; Mythic Identity</x:v>
      </x:c>
      <x:c r="R68" s="110" t="str">
        <x:v>Law &amp; Reputation</x:v>
      </x:c>
      <x:c r="S68" s="110" t="str">
        <x:v>Critical</x:v>
      </x:c>
      <x:c r="T68" s="110" t="str">
        <x:v>P1</x:v>
      </x:c>
      <x:c r="U68" s="110" t="str">
        <x:v>Covered</x:v>
      </x:c>
      <x:c r="V68" s="110" t="str"/>
      <x:c r="W68" s="110" t="str"/>
      <x:c r="X68" s="111" t="n">
        <x:f>COUNTA(K68:N68)/4</x:f>
        <x:v>1</x:v>
      </x:c>
      <x:c r="Y68" s="111" t="n">
        <x:f>COUNTA(F68:R68)/13</x:f>
        <x:v>1</x:v>
      </x:c>
      <x:c r="Z68" s="110" t="str">
        <x:f>IF(OR(U68="Gap",U68="Decision Required",S68="Critical",X68&lt;1,Y68&lt;1),"REVIEW","READY")</x:f>
        <x:v>REVIEW</x:v>
      </x:c>
    </x:row>
    <x:row r="69" ht="64" customHeight="1">
      <x:c r="A69" s="110" t="str">
        <x:v>REL-006</x:v>
      </x:c>
      <x:c r="B69" s="110" t="str">
        <x:v>Relics &amp; Mythic Identity</x:v>
      </x:c>
      <x:c r="C69" s="110" t="str">
        <x:v>Charge, Hunger, curse, corruption, and identity pressure</x:v>
      </x:c>
      <x:c r="D69" s="110" t="str">
        <x:v>Mythic_Superhero_RPG_World_Constitution_v1.md — §22 Charge/Burdens/Corruption</x:v>
      </x:c>
      <x:c r="E69" s="110" t="str">
        <x:v>When the entity or event becomes relevant to the active viewpoint.</x:v>
      </x:c>
      <x:c r="F69" s="110" t="str">
        <x:v>Known track, trigger, benefit/cost, severity, resistance, escalation, duration, remedy, and visible manifestation.</x:v>
      </x:c>
      <x:c r="G69" s="110" t="str">
        <x:v>Only observations, records, communications, and valid inferences in the active character's Knowledge Map.</x:v>
      </x:c>
      <x:c r="H69" s="110" t="str">
        <x:v>Concealed mechanics must preexist and remain discoverable; exact hidden trigger stays sealed until learned.</x:v>
      </x:c>
      <x:c r="I69" s="110" t="str">
        <x:v>Use, refuse, feed/satisfy, resist, accept stated benefit/corruption, suppress, cleanse, bargain, or separate.</x:v>
      </x:c>
      <x:c r="J69" s="110" t="str">
        <x:v>Knowingly accepted corruption/benefit and agency-constraining effects require explicit choice where the rule allows it.</x:v>
      </x:c>
      <x:c r="K69" s="110" t="str">
        <x:v>Track changes are morally neutral and preserve remaining player choices.</x:v>
      </x:c>
      <x:c r="L69" s="110" t="str">
        <x:v>Corruption never silently hands the protagonist to AI control.</x:v>
      </x:c>
      <x:c r="M69" s="110" t="str">
        <x:v>Show honest queued/loading/pending state; preserve the player's draft and current world version; do not imply completion.</x:v>
      </x:c>
      <x:c r="N69" s="110" t="str">
        <x:v>Stop or revalidate before commitment; identify the accessible state that changed; preserve intent; refresh the interpretation without leaking hidden causes.</x:v>
      </x:c>
      <x:c r="O69" s="110" t="str">
        <x:v>Event/record ID; campaign timestamp; state version; ruleset/tuning version where applicable; source/provenance; validator result; committed inputs and output.</x:v>
      </x:c>
      <x:c r="P69" s="110" t="str">
        <x:v>Keyboard and screen-reader operable; semantic status text; no hover, drag, motion, or color-only dependency; concise labels with expandable detail.</x:v>
      </x:c>
      <x:c r="Q69" s="110" t="str">
        <x:v>Relics &amp; Mythic Identity</x:v>
      </x:c>
      <x:c r="R69" s="110" t="str">
        <x:v>Character</x:v>
      </x:c>
      <x:c r="S69" s="110" t="str">
        <x:v>Critical</x:v>
      </x:c>
      <x:c r="T69" s="110" t="str">
        <x:v>P0</x:v>
      </x:c>
      <x:c r="U69" s="110" t="str">
        <x:v>Gap</x:v>
      </x:c>
      <x:c r="V69" s="110" t="str">
        <x:v>GAP-011</x:v>
      </x:c>
      <x:c r="W69" s="110" t="str"/>
      <x:c r="X69" s="111" t="n">
        <x:f>COUNTA(K69:N69)/4</x:f>
        <x:v>1</x:v>
      </x:c>
      <x:c r="Y69" s="111" t="n">
        <x:f>COUNTA(F69:R69)/13</x:f>
        <x:v>1</x:v>
      </x:c>
      <x:c r="Z69" s="110" t="str">
        <x:f>IF(OR(U69="Gap",U69="Decision Required",S69="Critical",X69&lt;1,Y69&lt;1),"REVIEW","READY")</x:f>
        <x:v>REVIEW</x:v>
      </x:c>
    </x:row>
    <x:row r="70" ht="64" customHeight="1">
      <x:c r="A70" s="110" t="str">
        <x:v>REL-007</x:v>
      </x:c>
      <x:c r="B70" s="110" t="str">
        <x:v>Relics &amp; Mythic Identity</x:v>
      </x:c>
      <x:c r="C70" s="110" t="str">
        <x:v>Anchors, destruction keys, breakage, severance, and Unmaking</x:v>
      </x:c>
      <x:c r="D70" s="110" t="str">
        <x:v>Mythic_Superhero_RPG_World_Constitution_v1.md — §22 Anchors/Damage and Destruction</x:v>
      </x:c>
      <x:c r="E70" s="110" t="str">
        <x:v>When the entity or event becomes relevant to the active viewpoint.</x:v>
      </x:c>
      <x:c r="F70" s="110" t="str">
        <x:v>Discovered Anchors, access, integrity/defense when known, current state, and learned destruction requirements.</x:v>
      </x:c>
      <x:c r="G70" s="110" t="str">
        <x:v>Only observations, records, communications, and valid inferences in the active character's Knowledge Map.</x:v>
      </x:c>
      <x:c r="H70" s="110" t="str">
        <x:v>Undiscovered Anchors and keys cannot be exposed or invented after success.</x:v>
      </x:c>
      <x:c r="I70" s="110" t="str">
        <x:v>Attack, sever, protect, move, claim, repair, investigate, disperse, or attempt true destruction through a valid method.</x:v>
      </x:c>
      <x:c r="J70" s="110" t="str">
        <x:v>Destroying unique Relic identity or an Anchor with known world consequences requires explicit confirmation.</x:v>
      </x:c>
      <x:c r="K70" s="110" t="str">
        <x:v>Vessel destruction and true Unmaking remain distinct and persistent.</x:v>
      </x:c>
      <x:c r="L70" s="110" t="str">
        <x:v>No new immunity or Anchor appears after the player succeeds.</x:v>
      </x:c>
      <x:c r="M70" s="110" t="str">
        <x:v>Show honest queued/loading/pending state; preserve the player's draft and current world version; do not imply completion.</x:v>
      </x:c>
      <x:c r="N70" s="110" t="str">
        <x:v>Stop or revalidate before commitment; identify the accessible state that changed; preserve intent; refresh the interpretation without leaking hidden causes.</x:v>
      </x:c>
      <x:c r="O70" s="110" t="str">
        <x:v>Event/record ID; campaign timestamp; state version; ruleset/tuning version where applicable; source/provenance; validator result; committed inputs and output.</x:v>
      </x:c>
      <x:c r="P70" s="110" t="str">
        <x:v>Keyboard and screen-reader operable; semantic status text; no hover, drag, motion, or color-only dependency; concise labels with expandable detail.</x:v>
      </x:c>
      <x:c r="Q70" s="110" t="str">
        <x:v>Relics &amp; Mythic Identity</x:v>
      </x:c>
      <x:c r="R70" s="110" t="str">
        <x:v>Living Stage</x:v>
      </x:c>
      <x:c r="S70" s="110" t="str">
        <x:v>Critical</x:v>
      </x:c>
      <x:c r="T70" s="110" t="str">
        <x:v>P1</x:v>
      </x:c>
      <x:c r="U70" s="110" t="str">
        <x:v>Covered</x:v>
      </x:c>
      <x:c r="V70" s="110" t="str"/>
      <x:c r="W70" s="110" t="str"/>
      <x:c r="X70" s="111" t="n">
        <x:f>COUNTA(K70:N70)/4</x:f>
        <x:v>1</x:v>
      </x:c>
      <x:c r="Y70" s="111" t="n">
        <x:f>COUNTA(F70:R70)/13</x:f>
        <x:v>1</x:v>
      </x:c>
      <x:c r="Z70" s="110" t="str">
        <x:f>IF(OR(U70="Gap",U70="Decision Required",S70="Critical",X70&lt;1,Y70&lt;1),"REVIEW","READY")</x:f>
        <x:v>REVIEW</x:v>
      </x:c>
    </x:row>
    <x:row r="71" ht="64" customHeight="1">
      <x:c r="A71" s="110" t="str">
        <x:v>REL-008</x:v>
      </x:c>
      <x:c r="B71" s="110" t="str">
        <x:v>Relics &amp; Mythic Identity</x:v>
      </x:c>
      <x:c r="C71" s="110" t="str">
        <x:v>Reformation, succession, inheritance, and Legacy</x:v>
      </x:c>
      <x:c r="D71" s="110" t="str">
        <x:v>Mythic_Superhero_RPG_World_Constitution_v1.md — §22 Reformation/Succession/Legacy</x:v>
      </x:c>
      <x:c r="E71" s="110" t="str">
        <x:v>When the entity or event becomes relevant to the active viewpoint.</x:v>
      </x:c>
      <x:c r="F71" s="110" t="str">
        <x:v>Known active Anchors, interval/progress as permitted, interference, current Claim, succession law, and inheritable rights.</x:v>
      </x:c>
      <x:c r="G71" s="110" t="str">
        <x:v>Only observations, records, communications, and valid inferences in the active character's Knowledge Map.</x:v>
      </x:c>
      <x:c r="H71" s="110" t="str">
        <x:v>Private Relic willingness, undiscovered heirs, and hidden Anchors.</x:v>
      </x:c>
      <x:c r="I71" s="110" t="str">
        <x:v>Support/interfere with reformation, repair returned vessel, designate heir, contest succession, or create a new successor object.</x:v>
      </x:c>
      <x:c r="J71" s="110" t="str">
        <x:v>Inheritance and succession transfer exact rights only and require explicit terms.</x:v>
      </x:c>
      <x:c r="K71" s="110" t="str">
        <x:v>Reformed Relic returns Critical with surviving identity/history; heir gains only transmitted rights.</x:v>
      </x:c>
      <x:c r="L71" s="110" t="str">
        <x:v>Legacy cannot clone a unique Relic or compel a person-like Relic.</x:v>
      </x:c>
      <x:c r="M71" s="110" t="str">
        <x:v>Show honest queued/loading/pending state; preserve the player's draft and current world version; do not imply completion.</x:v>
      </x:c>
      <x:c r="N71" s="110" t="str">
        <x:v>Stop or revalidate before commitment; identify the accessible state that changed; preserve intent; refresh the interpretation without leaking hidden causes.</x:v>
      </x:c>
      <x:c r="O71" s="110" t="str">
        <x:v>Event/record ID; campaign timestamp; state version; ruleset/tuning version where applicable; source/provenance; validator result; committed inputs and output.</x:v>
      </x:c>
      <x:c r="P71" s="110" t="str">
        <x:v>Keyboard and screen-reader operable; semantic status text; no hover, drag, motion, or color-only dependency; concise labels with expandable detail.</x:v>
      </x:c>
      <x:c r="Q71" s="110" t="str">
        <x:v>Relics &amp; Mythic Identity</x:v>
      </x:c>
      <x:c r="R71" s="110" t="str">
        <x:v>Death &amp; Continuation</x:v>
      </x:c>
      <x:c r="S71" s="110" t="str">
        <x:v>Critical</x:v>
      </x:c>
      <x:c r="T71" s="110" t="str">
        <x:v>P1</x:v>
      </x:c>
      <x:c r="U71" s="110" t="str">
        <x:v>Covered</x:v>
      </x:c>
      <x:c r="V71" s="110" t="str"/>
      <x:c r="W71" s="110" t="str"/>
      <x:c r="X71" s="111" t="n">
        <x:f>COUNTA(K71:N71)/4</x:f>
        <x:v>1</x:v>
      </x:c>
      <x:c r="Y71" s="111" t="n">
        <x:f>COUNTA(F71:R71)/13</x:f>
        <x:v>1</x:v>
      </x:c>
      <x:c r="Z71" s="110" t="str">
        <x:f>IF(OR(U71="Gap",U71="Decision Required",S71="Critical",X71&lt;1,Y71&lt;1),"REVIEW","READY")</x:f>
        <x:v>REVIEW</x:v>
      </x:c>
    </x:row>
    <x:row r="72" ht="64" customHeight="1">
      <x:c r="A72" s="110" t="str">
        <x:v>SUR-001</x:v>
      </x:c>
      <x:c r="B72" s="110" t="str">
        <x:v>Survival, Travel &amp; Exploration</x:v>
      </x:c>
      <x:c r="C72" s="110" t="str">
        <x:v>Needs, deprivation loads, fatigue, and exposure</x:v>
      </x:c>
      <x:c r="D72" s="110" t="str">
        <x:v>Mythic_Superhero_RPG_World_Constitution_v1.md — §23 Survival Profile/Deprivation/Fatigue</x:v>
      </x:c>
      <x:c r="E72" s="110" t="str">
        <x:v>When the entity or event becomes relevant to the active viewpoint.</x:v>
      </x:c>
      <x:c r="F72" s="110" t="str">
        <x:v>Due needs, usable supplies, shortfall, load, fatigue severity/effects, protection, and next evaluation time.</x:v>
      </x:c>
      <x:c r="G72" s="110" t="str">
        <x:v>Only observations, records, communications, and valid inferences in the active character's Knowledge Map.</x:v>
      </x:c>
      <x:c r="H72" s="110" t="str">
        <x:v>Hidden spoilage/contamination only when causally committed and discoverable.</x:v>
      </x:c>
      <x:c r="I72" s="110" t="str">
        <x:v>Consume, ration, forage, buy, steal, conjure valid sustenance, rest, seek shelter, or accept pressure.</x:v>
      </x:c>
      <x:c r="J72" s="110" t="str">
        <x:v>Consuming rare/unsafe supplies or knowingly crossing severe thresholds shows stakes.</x:v>
      </x:c>
      <x:c r="K72" s="110" t="str">
        <x:v>Needs and fatigue update through exact intervals and character-specific profile.</x:v>
      </x:c>
      <x:c r="L72" s="110" t="str">
        <x:v>Power Tier alone grants no immunity; solved needs remain genuinely solved.</x:v>
      </x:c>
      <x:c r="M72" s="110" t="str">
        <x:v>Show honest queued/loading/pending state; preserve the player's draft and current world version; do not imply completion.</x:v>
      </x:c>
      <x:c r="N72" s="110" t="str">
        <x:v>Stop or revalidate before commitment; identify the accessible state that changed; preserve intent; refresh the interpretation without leaking hidden causes.</x:v>
      </x:c>
      <x:c r="O72" s="110" t="str">
        <x:v>Event/record ID; campaign timestamp; state version; ruleset/tuning version where applicable; source/provenance; validator result; committed inputs and output.</x:v>
      </x:c>
      <x:c r="P72" s="110" t="str">
        <x:v>Keyboard and screen-reader operable; semantic status text; no hover, drag, motion, or color-only dependency; concise labels with expandable detail.</x:v>
      </x:c>
      <x:c r="Q72" s="110" t="str">
        <x:v>Travel &amp; Survival</x:v>
      </x:c>
      <x:c r="R72" s="110" t="str">
        <x:v>Character</x:v>
      </x:c>
      <x:c r="S72" s="110" t="str">
        <x:v>High</x:v>
      </x:c>
      <x:c r="T72" s="110" t="str">
        <x:v>P1</x:v>
      </x:c>
      <x:c r="U72" s="110" t="str">
        <x:v>Covered</x:v>
      </x:c>
      <x:c r="V72" s="110" t="str"/>
      <x:c r="W72" s="110" t="str"/>
      <x:c r="X72" s="111" t="n">
        <x:f>COUNTA(K72:N72)/4</x:f>
        <x:v>1</x:v>
      </x:c>
      <x:c r="Y72" s="111" t="n">
        <x:f>COUNTA(F72:R72)/13</x:f>
        <x:v>1</x:v>
      </x:c>
      <x:c r="Z72" s="110" t="str">
        <x:f>IF(OR(U72="Gap",U72="Decision Required",S72="Critical",X72&lt;1,Y72&lt;1),"REVIEW","READY")</x:f>
        <x:v>READY</x:v>
      </x:c>
    </x:row>
    <x:row r="73" ht="64" customHeight="1">
      <x:c r="A73" s="110" t="str">
        <x:v>SUR-002</x:v>
      </x:c>
      <x:c r="B73" s="110" t="str">
        <x:v>Survival, Travel &amp; Exploration</x:v>
      </x:c>
      <x:c r="C73" s="110" t="str">
        <x:v>Camps, shelter, guard plans, rest quality, and caches</x:v>
      </x:c>
      <x:c r="D73" s="110" t="str">
        <x:v>Mythic_Superhero_RPG_World_Constitution_v1.md — §23 Rest Quality/Camps</x:v>
      </x:c>
      <x:c r="E73" s="110" t="str">
        <x:v>When the entity or event becomes relevant to the active viewpoint.</x:v>
      </x:c>
      <x:c r="F73" s="110" t="str">
        <x:v>Exact location, occupants, protection tags, capacity, safety, supplies, alarms, damage, discovery state, and projected Rest Quality.</x:v>
      </x:c>
      <x:c r="G73" s="110" t="str">
        <x:v>Only observations, records, communications, and valid inferences in the active character's Knowledge Map.</x:v>
      </x:c>
      <x:c r="H73" s="110" t="str">
        <x:v>Undetected observers/hazards and private actor plans.</x:v>
      </x:c>
      <x:c r="I73" s="110" t="str">
        <x:v>Build, improve, guard, conceal, ward, cache, rest, abandon, revisit, occupy, rob, or destroy.</x:v>
      </x:c>
      <x:c r="J73" s="110" t="str">
        <x:v>Long rest/time commitment and abandoning a known dependent/cache require confirmation when material.</x:v>
      </x:c>
      <x:c r="K73" s="110" t="str">
        <x:v>Camp remains persistent and can change hands or condition.</x:v>
      </x:c>
      <x:c r="L73" s="110" t="str">
        <x:v>No result creates materials/wards not possessed; interrupted rest preserves actual hours.</x:v>
      </x:c>
      <x:c r="M73" s="110" t="str">
        <x:v>Show honest queued/loading/pending state; preserve the player's draft and current world version; do not imply completion.</x:v>
      </x:c>
      <x:c r="N73" s="110" t="str">
        <x:v>Stop or revalidate before commitment; identify the accessible state that changed; preserve intent; refresh the interpretation without leaking hidden causes.</x:v>
      </x:c>
      <x:c r="O73" s="110" t="str">
        <x:v>Event/record ID; campaign timestamp; state version; ruleset/tuning version where applicable; source/provenance; validator result; committed inputs and output.</x:v>
      </x:c>
      <x:c r="P73" s="110" t="str">
        <x:v>Keyboard and screen-reader operable; semantic status text; no hover, drag, motion, or color-only dependency; concise labels with expandable detail.</x:v>
      </x:c>
      <x:c r="Q73" s="110" t="str">
        <x:v>Travel &amp; Survival</x:v>
      </x:c>
      <x:c r="R73" s="110" t="str">
        <x:v>Exploration &amp; Site Map</x:v>
      </x:c>
      <x:c r="S73" s="110" t="str">
        <x:v>High</x:v>
      </x:c>
      <x:c r="T73" s="110" t="str">
        <x:v>P1</x:v>
      </x:c>
      <x:c r="U73" s="110" t="str">
        <x:v>Covered</x:v>
      </x:c>
      <x:c r="V73" s="110" t="str"/>
      <x:c r="W73" s="110" t="str"/>
      <x:c r="X73" s="111" t="n">
        <x:f>COUNTA(K73:N73)/4</x:f>
        <x:v>1</x:v>
      </x:c>
      <x:c r="Y73" s="111" t="n">
        <x:f>COUNTA(F73:R73)/13</x:f>
        <x:v>1</x:v>
      </x:c>
      <x:c r="Z73" s="110" t="str">
        <x:f>IF(OR(U73="Gap",U73="Decision Required",S73="Critical",X73&lt;1,Y73&lt;1),"REVIEW","READY")</x:f>
        <x:v>READY</x:v>
      </x:c>
    </x:row>
    <x:row r="74" ht="64" customHeight="1">
      <x:c r="A74" s="110" t="str">
        <x:v>SUR-003</x:v>
      </x:c>
      <x:c r="B74" s="110" t="str">
        <x:v>Survival, Travel &amp; Exploration</x:v>
      </x:c>
      <x:c r="C74" s="110" t="str">
        <x:v>Supply and shortage forecasting</x:v>
      </x:c>
      <x:c r="D74" s="110" t="str">
        <x:v>Mythic_Superhero_RPG_World_Constitution_v1.md — §23 Supply Forecasting</x:v>
      </x:c>
      <x:c r="E74" s="110" t="str">
        <x:v>When the entity or event becomes relevant to the active viewpoint.</x:v>
      </x:c>
      <x:c r="F74" s="110" t="str">
        <x:v>Current usable units, planned need/interval, coverage, earliest shortage, assumptions, and invalidation warnings.</x:v>
      </x:c>
      <x:c r="G74" s="110" t="str">
        <x:v>Only observations, records, communications, and valid inferences in the active character's Knowledge Map.</x:v>
      </x:c>
      <x:c r="H74" s="110" t="str">
        <x:v>Unknown theft, leak, contamination, or route event is not presented as certainty.</x:v>
      </x:c>
      <x:c r="I74" s="110" t="str">
        <x:v>Change route/pace/party, resupply, redistribute, reduce needs, or proceed knowingly.</x:v>
      </x:c>
      <x:c r="J74" s="110" t="str">
        <x:v>Proceeding beyond a known critical shortage may show a single material-risk confirmation.</x:v>
      </x:c>
      <x:c r="K74" s="110" t="str">
        <x:v>Forecast updates with known inputs and never becomes a surprise from unchanged inventory.</x:v>
      </x:c>
      <x:c r="L74" s="110" t="str">
        <x:v>Missing inputs are labeled; the UI does not invent a precise estimate.</x:v>
      </x:c>
      <x:c r="M74" s="110" t="str">
        <x:v>Show honest queued/loading/pending state; preserve the player's draft and current world version; do not imply completion.</x:v>
      </x:c>
      <x:c r="N74" s="110" t="str">
        <x:v>Stop or revalidate before commitment; identify the accessible state that changed; preserve intent; refresh the interpretation without leaking hidden causes.</x:v>
      </x:c>
      <x:c r="O74" s="110" t="str">
        <x:v>Event/record ID; campaign timestamp; state version; ruleset/tuning version where applicable; source/provenance; validator result; committed inputs and output.</x:v>
      </x:c>
      <x:c r="P74" s="110" t="str">
        <x:v>Keyboard and screen-reader operable; semantic status text; no hover, drag, motion, or color-only dependency; concise labels with expandable detail.</x:v>
      </x:c>
      <x:c r="Q74" s="110" t="str">
        <x:v>Travel &amp; Survival</x:v>
      </x:c>
      <x:c r="R74" s="110" t="str">
        <x:v>Context Lens</x:v>
      </x:c>
      <x:c r="S74" s="110" t="str">
        <x:v>High</x:v>
      </x:c>
      <x:c r="T74" s="110" t="str">
        <x:v>P0</x:v>
      </x:c>
      <x:c r="U74" s="110" t="str">
        <x:v>Covered</x:v>
      </x:c>
      <x:c r="V74" s="110" t="str"/>
      <x:c r="W74" s="110" t="str"/>
      <x:c r="X74" s="111" t="n">
        <x:f>COUNTA(K74:N74)/4</x:f>
        <x:v>1</x:v>
      </x:c>
      <x:c r="Y74" s="111" t="n">
        <x:f>COUNTA(F74:R74)/13</x:f>
        <x:v>1</x:v>
      </x:c>
      <x:c r="Z74" s="110" t="str">
        <x:f>IF(OR(U74="Gap",U74="Decision Required",S74="Critical",X74&lt;1,Y74&lt;1),"REVIEW","READY")</x:f>
        <x:v>READY</x:v>
      </x:c>
    </x:row>
    <x:row r="75" ht="64" customHeight="1">
      <x:c r="A75" s="110" t="str">
        <x:v>TRV-001</x:v>
      </x:c>
      <x:c r="B75" s="110" t="str">
        <x:v>Survival, Travel &amp; Exploration</x:v>
      </x:c>
      <x:c r="C75" s="110" t="str">
        <x:v>Route planning, pace, roles, travel time, and resources</x:v>
      </x:c>
      <x:c r="D75" s="110" t="str">
        <x:v>Mythic_Superhero_RPG_World_Constitution_v1.md — §24 Routes/Travel Rate/Legs/Pace/Roles</x:v>
      </x:c>
      <x:c r="E75" s="110" t="str">
        <x:v>When the entity or event becomes relevant to the active viewpoint.</x:v>
      </x:c>
      <x:c r="F75" s="110" t="str">
        <x:v>Known route geometry/quality, supported modes, time, pace, supplies/fuel, roles, hazards, checkpoints, staleness, and alternatives.</x:v>
      </x:c>
      <x:c r="G75" s="110" t="str">
        <x:v>Only observations, records, communications, and valid inferences in the active character's Knowledge Map.</x:v>
      </x:c>
      <x:c r="H75" s="110" t="str">
        <x:v>Unknown branches, closures, hazards, and faction placements.</x:v>
      </x:c>
      <x:c r="I75" s="110" t="str">
        <x:v>Plan, change mode/pace/roles, leave route, create/destroy route, carry members, split party, or teleport when capable.</x:v>
      </x:c>
      <x:c r="J75" s="110" t="str">
        <x:v>Commit a leg with known time/resource/Exposure implications.</x:v>
      </x:c>
      <x:c r="K75" s="110" t="str">
        <x:v>Leg resolves against the actual route and world state.</x:v>
      </x:c>
      <x:c r="L75" s="110" t="str">
        <x:v>Route difficulty never scales to Level; skipped content does not relocate.</x:v>
      </x:c>
      <x:c r="M75" s="110" t="str">
        <x:v>Show honest queued/loading/pending state; preserve the player's draft and current world version; do not imply completion.</x:v>
      </x:c>
      <x:c r="N75" s="110" t="str">
        <x:v>Stop or revalidate before commitment; identify the accessible state that changed; preserve intent; refresh the interpretation without leaking hidden causes.</x:v>
      </x:c>
      <x:c r="O75" s="110" t="str">
        <x:v>Event/record ID; campaign timestamp; state version; ruleset/tuning version where applicable; source/provenance; validator result; committed inputs and output.</x:v>
      </x:c>
      <x:c r="P75" s="110" t="str">
        <x:v>Keyboard and screen-reader operable; semantic status text; no hover, drag, motion, or color-only dependency; concise labels with expandable detail.</x:v>
      </x:c>
      <x:c r="Q75" s="110" t="str">
        <x:v>Travel &amp; Survival</x:v>
      </x:c>
      <x:c r="R75" s="110" t="str">
        <x:v>World Map &amp; Knowledge Map</x:v>
      </x:c>
      <x:c r="S75" s="110" t="str">
        <x:v>Critical</x:v>
      </x:c>
      <x:c r="T75" s="110" t="str">
        <x:v>P0</x:v>
      </x:c>
      <x:c r="U75" s="110" t="str">
        <x:v>Covered</x:v>
      </x:c>
      <x:c r="V75" s="110" t="str"/>
      <x:c r="W75" s="110" t="str"/>
      <x:c r="X75" s="111" t="n">
        <x:f>COUNTA(K75:N75)/4</x:f>
        <x:v>1</x:v>
      </x:c>
      <x:c r="Y75" s="111" t="n">
        <x:f>COUNTA(F75:R75)/13</x:f>
        <x:v>1</x:v>
      </x:c>
      <x:c r="Z75" s="110" t="str">
        <x:f>IF(OR(U75="Gap",U75="Decision Required",S75="Critical",X75&lt;1,Y75&lt;1),"REVIEW","READY")</x:f>
        <x:v>REVIEW</x:v>
      </x:c>
    </x:row>
    <x:row r="76" ht="64" customHeight="1">
      <x:c r="A76" s="110" t="str">
        <x:v>TRV-002</x:v>
      </x:c>
      <x:c r="B76" s="110" t="str">
        <x:v>Survival, Travel &amp; Exploration</x:v>
      </x:c>
      <x:c r="C76" s="110" t="str">
        <x:v>Navigation, map quality, lost depth, and reorientation</x:v>
      </x:c>
      <x:c r="D76" s="110" t="str">
        <x:v>Mythic_Superhero_RPG_World_Constitution_v1.md — §24 Navigation/Becoming Lost</x:v>
      </x:c>
      <x:c r="E76" s="110" t="str">
        <x:v>When the entity or event becomes relevant to the active viewpoint.</x:v>
      </x:c>
      <x:c r="F76" s="110" t="str">
        <x:v>Believed route, map quality/staleness, observable landmarks, uncertainty state, actual progress as perceived, and reorientation options.</x:v>
      </x:c>
      <x:c r="G76" s="110" t="str">
        <x:v>The character may know only an uncertain area, last verified point, heading, or sensory context.</x:v>
      </x:c>
      <x:c r="H76" s="110" t="str">
        <x:v>Engine-retained exact location and undiscovered deviation node.</x:v>
      </x:c>
      <x:c r="I76" s="110" t="str">
        <x:v>Navigate, reorient, seek vantage/beacon/guide, backtrack, map, contact others, or make a destructive shortcut.</x:v>
      </x:c>
      <x:c r="J76" s="110" t="str">
        <x:v>No generic confirmation; hazardous shortcuts use their normal known-risk review.</x:v>
      </x:c>
      <x:c r="K76" s="110" t="str">
        <x:v>Lost presentation preserves uncertainty while canonical position remains exact.</x:v>
      </x:c>
      <x:c r="L76" s="110" t="str">
        <x:v>Failure creates only precommitted delay/deviation possibilities; no imaginary disorientation on a route with no wrong turn.</x:v>
      </x:c>
      <x:c r="M76" s="110" t="str">
        <x:v>Show honest queued/loading/pending state; preserve the player's draft and current world version; do not imply completion.</x:v>
      </x:c>
      <x:c r="N76" s="110" t="str">
        <x:v>Stop or revalidate before commitment; identify the accessible state that changed; preserve intent; refresh the interpretation without leaking hidden causes.</x:v>
      </x:c>
      <x:c r="O76" s="110" t="str">
        <x:v>Event/record ID; campaign timestamp; state version; ruleset/tuning version where applicable; source/provenance; validator result; committed inputs and output.</x:v>
      </x:c>
      <x:c r="P76" s="110" t="str">
        <x:v>Keyboard and screen-reader operable; semantic status text; no hover, drag, motion, or color-only dependency; concise labels with expandable detail.</x:v>
      </x:c>
      <x:c r="Q76" s="110" t="str">
        <x:v>World Map &amp; Knowledge Map</x:v>
      </x:c>
      <x:c r="R76" s="110" t="str">
        <x:v>Travel &amp; Survival</x:v>
      </x:c>
      <x:c r="S76" s="110" t="str">
        <x:v>Critical</x:v>
      </x:c>
      <x:c r="T76" s="110" t="str">
        <x:v>P0</x:v>
      </x:c>
      <x:c r="U76" s="110" t="str">
        <x:v>Covered</x:v>
      </x:c>
      <x:c r="V76" s="110" t="str"/>
      <x:c r="W76" s="110" t="str"/>
      <x:c r="X76" s="111" t="n">
        <x:f>COUNTA(K76:N76)/4</x:f>
        <x:v>1</x:v>
      </x:c>
      <x:c r="Y76" s="111" t="n">
        <x:f>COUNTA(F76:R76)/13</x:f>
        <x:v>1</x:v>
      </x:c>
      <x:c r="Z76" s="110" t="str">
        <x:f>IF(OR(U76="Gap",U76="Decision Required",S76="Critical",X76&lt;1,Y76&lt;1),"REVIEW","READY")</x:f>
        <x:v>REVIEW</x:v>
      </x:c>
    </x:row>
    <x:row r="77" ht="64" customHeight="1">
      <x:c r="A77" s="110" t="str">
        <x:v>TRV-003</x:v>
      </x:c>
      <x:c r="B77" s="110" t="str">
        <x:v>Survival, Travel &amp; Exploration</x:v>
      </x:c>
      <x:c r="C77" s="110" t="str">
        <x:v>Travel events, roles, strain, and interruptions</x:v>
      </x:c>
      <x:c r="D77" s="110" t="str">
        <x:v>Mythic_Superhero_RPG_World_Constitution_v1.md — §24 Expedition Roles/Travel Events/Strain</x:v>
      </x:c>
      <x:c r="E77" s="110" t="str">
        <x:v>When the entity or event becomes relevant to the active viewpoint.</x:v>
      </x:c>
      <x:c r="F77" s="110" t="str">
        <x:v>Assigned roles/consent, known event pressure factors, time/fuel/supplies/strain, and actual encountered event.</x:v>
      </x:c>
      <x:c r="G77" s="110" t="str">
        <x:v>Only observations, records, communications, and valid inferences in the active character's Knowledge Map.</x:v>
      </x:c>
      <x:c r="H77" s="110" t="str">
        <x:v>Seeded event result and hidden eligible pool until triggered.</x:v>
      </x:c>
      <x:c r="I77" s="110" t="str">
        <x:v>Assign willing roles, scout, guard, compress, stop, interact, avoid, investigate, or continue.</x:v>
      </x:c>
      <x:c r="J77" s="110" t="str">
        <x:v>Compression pauses for meaningful event, discovery, resource warning, or autonomy conflict.</x:v>
      </x:c>
      <x:c r="K77" s="110" t="str">
        <x:v>Events arise from actual route, factions, ecology, weather, and clocks; not automatically hostile.</x:v>
      </x:c>
      <x:c r="L77" s="110" t="str">
        <x:v>Role assignment never suspends companion agency.</x:v>
      </x:c>
      <x:c r="M77" s="110" t="str">
        <x:v>Show honest queued/loading/pending state; preserve the player's draft and current world version; do not imply completion.</x:v>
      </x:c>
      <x:c r="N77" s="110" t="str">
        <x:v>Stop or revalidate before commitment; identify the accessible state that changed; preserve intent; refresh the interpretation without leaking hidden causes.</x:v>
      </x:c>
      <x:c r="O77" s="110" t="str">
        <x:v>Event/record ID; campaign timestamp; state version; ruleset/tuning version where applicable; source/provenance; validator result; committed inputs and output.</x:v>
      </x:c>
      <x:c r="P77" s="110" t="str">
        <x:v>Keyboard and screen-reader operable; semantic status text; no hover, drag, motion, or color-only dependency; concise labels with expandable detail.</x:v>
      </x:c>
      <x:c r="Q77" s="110" t="str">
        <x:v>Travel &amp; Survival</x:v>
      </x:c>
      <x:c r="R77" s="110" t="str">
        <x:v>Living Stage</x:v>
      </x:c>
      <x:c r="S77" s="110" t="str">
        <x:v>High</x:v>
      </x:c>
      <x:c r="T77" s="110" t="str">
        <x:v>P1</x:v>
      </x:c>
      <x:c r="U77" s="110" t="str">
        <x:v>Covered</x:v>
      </x:c>
      <x:c r="V77" s="110" t="str"/>
      <x:c r="W77" s="110" t="str"/>
      <x:c r="X77" s="111" t="n">
        <x:f>COUNTA(K77:N77)/4</x:f>
        <x:v>1</x:v>
      </x:c>
      <x:c r="Y77" s="111" t="n">
        <x:f>COUNTA(F77:R77)/13</x:f>
        <x:v>1</x:v>
      </x:c>
      <x:c r="Z77" s="110" t="str">
        <x:f>IF(OR(U77="Gap",U77="Decision Required",S77="Critical",X77&lt;1,Y77&lt;1),"REVIEW","READY")</x:f>
        <x:v>READY</x:v>
      </x:c>
    </x:row>
    <x:row r="78" ht="64" customHeight="1">
      <x:c r="A78" s="110" t="str">
        <x:v>TRV-004</x:v>
      </x:c>
      <x:c r="B78" s="110" t="str">
        <x:v>Survival, Travel &amp; Exploration</x:v>
      </x:c>
      <x:c r="C78" s="110" t="str">
        <x:v>Travel-scale pursuit</x:v>
      </x:c>
      <x:c r="D78" s="110" t="str">
        <x:v>Mythic_Superhero_RPG_World_Constitution_v1.md — §24 Pursuits</x:v>
      </x:c>
      <x:c r="E78" s="110" t="str">
        <x:v>When the entity or event becomes relevant to the active viewpoint.</x:v>
      </x:c>
      <x:c r="F78" s="110" t="str">
        <x:v>Lead, interval, known participants, relative rate, terrain/routes, chosen tactics, resources, and contact/escape thresholds.</x:v>
      </x:c>
      <x:c r="G78" s="110" t="str">
        <x:v>Only observations, records, communications, and valid inferences in the active character's Knowledge Map.</x:v>
      </x:c>
      <x:c r="H78" s="110" t="str">
        <x:v>Unseen pursuer tactics and undiscovered interception routes.</x:v>
      </x:c>
      <x:c r="I78" s="110" t="str">
        <x:v>Flee, pursue, hide, sabotage, change route/mode, split, bargain, ambush, or accept contact.</x:v>
      </x:c>
      <x:c r="J78" s="110" t="str">
        <x:v>Risky tactic and scarce resource spend use normal action review.</x:v>
      </x:c>
      <x:c r="K78" s="110" t="str">
        <x:v>Each interval consumes real campaign time and resources.</x:v>
      </x:c>
      <x:c r="L78" s="110" t="str">
        <x:v>Overwhelming speed may resolve automatically; the UI does not pretend a meaningless contest.</x:v>
      </x:c>
      <x:c r="M78" s="110" t="str">
        <x:v>Show honest queued/loading/pending state; preserve the player's draft and current world version; do not imply completion.</x:v>
      </x:c>
      <x:c r="N78" s="110" t="str">
        <x:v>Stop or revalidate before commitment; identify the accessible state that changed; preserve intent; refresh the interpretation without leaking hidden causes.</x:v>
      </x:c>
      <x:c r="O78" s="110" t="str">
        <x:v>Event/record ID; campaign timestamp; state version; ruleset/tuning version where applicable; source/provenance; validator result; committed inputs and output.</x:v>
      </x:c>
      <x:c r="P78" s="110" t="str">
        <x:v>Keyboard and screen-reader operable; semantic status text; no hover, drag, motion, or color-only dependency; concise labels with expandable detail.</x:v>
      </x:c>
      <x:c r="Q78" s="110" t="str">
        <x:v>Travel &amp; Survival</x:v>
      </x:c>
      <x:c r="R78" s="110" t="str">
        <x:v>Immediate Danger</x:v>
      </x:c>
      <x:c r="S78" s="110" t="str">
        <x:v>High</x:v>
      </x:c>
      <x:c r="T78" s="110" t="str">
        <x:v>P1</x:v>
      </x:c>
      <x:c r="U78" s="110" t="str">
        <x:v>Covered</x:v>
      </x:c>
      <x:c r="V78" s="110" t="str"/>
      <x:c r="W78" s="110" t="str"/>
      <x:c r="X78" s="111" t="n">
        <x:f>COUNTA(K78:N78)/4</x:f>
        <x:v>1</x:v>
      </x:c>
      <x:c r="Y78" s="111" t="n">
        <x:f>COUNTA(F78:R78)/13</x:f>
        <x:v>1</x:v>
      </x:c>
      <x:c r="Z78" s="110" t="str">
        <x:f>IF(OR(U78="Gap",U78="Decision Required",S78="Critical",X78&lt;1,Y78&lt;1),"REVIEW","READY")</x:f>
        <x:v>READY</x:v>
      </x:c>
    </x:row>
    <x:row r="79" ht="64" customHeight="1">
      <x:c r="A79" s="110" t="str">
        <x:v>TRV-005</x:v>
      </x:c>
      <x:c r="B79" s="110" t="str">
        <x:v>Survival, Travel &amp; Exploration</x:v>
      </x:c>
      <x:c r="C79" s="110" t="str">
        <x:v>Teleportation, unconventional transit, and realm thresholds</x:v>
      </x:c>
      <x:c r="D79" s="110" t="str">
        <x:v>Mythic_Superhero_RPG_World_Constitution_v1.md — §24 Teleportation/Realm Thresholds; §35 Realms</x:v>
      </x:c>
      <x:c r="E79" s="110" t="str">
        <x:v>When the entity or event becomes relevant to the active viewpoint.</x:v>
      </x:c>
      <x:c r="F79" s="110" t="str">
        <x:v>Range/capacity, destination-lock requirements, cost, interference, Entry Condition, Anchor, Toll, known failure profile, time distortion rule.</x:v>
      </x:c>
      <x:c r="G79" s="110" t="str">
        <x:v>Only observations, records, communications, and valid inferences in the active character's Knowledge Map.</x:v>
      </x:c>
      <x:c r="H79" s="110" t="str">
        <x:v>Unknown threshold laws, hidden scatter candidates, and inaccessible destinations.</x:v>
      </x:c>
      <x:c r="I79" s="110" t="str">
        <x:v>Prepare, key, pay/bargain Toll, stabilize, cross, abort, seek alternate threshold, or use another valid method.</x:v>
      </x:c>
      <x:c r="J79" s="110" t="str">
        <x:v>Passengers/cargo, Toll, separation/scatter, realm time, and destructive crossing consequences are explicit.</x:v>
      </x:c>
      <x:c r="K79" s="110" t="str">
        <x:v>True point-to-point travel skips intermediate events.</x:v>
      </x:c>
      <x:c r="L79" s="110" t="str">
        <x:v>Scatter regions and failure modes are committed before roll; entry prerequisites cannot be overridden by natural 20.</x:v>
      </x:c>
      <x:c r="M79" s="110" t="str">
        <x:v>Show honest queued/loading/pending state; preserve the player's draft and current world version; do not imply completion.</x:v>
      </x:c>
      <x:c r="N79" s="110" t="str">
        <x:v>Stop or revalidate before commitment; identify the accessible state that changed; preserve intent; refresh the interpretation without leaking hidden causes.</x:v>
      </x:c>
      <x:c r="O79" s="110" t="str">
        <x:v>Event/record ID; campaign timestamp; state version; ruleset/tuning version where applicable; source/provenance; validator result; committed inputs and output.</x:v>
      </x:c>
      <x:c r="P79" s="110" t="str">
        <x:v>Keyboard and screen-reader operable; semantic status text; no hover, drag, motion, or color-only dependency; concise labels with expandable detail.</x:v>
      </x:c>
      <x:c r="Q79" s="110" t="str">
        <x:v>World Map &amp; Knowledge Map</x:v>
      </x:c>
      <x:c r="R79" s="110" t="str">
        <x:v>Travel &amp; Survival</x:v>
      </x:c>
      <x:c r="S79" s="110" t="str">
        <x:v>Critical</x:v>
      </x:c>
      <x:c r="T79" s="110" t="str">
        <x:v>P1</x:v>
      </x:c>
      <x:c r="U79" s="110" t="str">
        <x:v>Covered</x:v>
      </x:c>
      <x:c r="V79" s="110" t="str"/>
      <x:c r="W79" s="110" t="str"/>
      <x:c r="X79" s="111" t="n">
        <x:f>COUNTA(K79:N79)/4</x:f>
        <x:v>1</x:v>
      </x:c>
      <x:c r="Y79" s="111" t="n">
        <x:f>COUNTA(F79:R79)/13</x:f>
        <x:v>1</x:v>
      </x:c>
      <x:c r="Z79" s="110" t="str">
        <x:f>IF(OR(U79="Gap",U79="Decision Required",S79="Critical",X79&lt;1,Y79&lt;1),"REVIEW","READY")</x:f>
        <x:v>REVIEW</x:v>
      </x:c>
    </x:row>
    <x:row r="80" ht="64" customHeight="1">
      <x:c r="A80" s="110" t="str">
        <x:v>EXP-001</x:v>
      </x:c>
      <x:c r="B80" s="110" t="str">
        <x:v>Survival, Travel &amp; Exploration</x:v>
      </x:c>
      <x:c r="C80" s="110" t="str">
        <x:v>Persistent Site, Zone, Feature, and Connection</x:v>
      </x:c>
      <x:c r="D80" s="110" t="str">
        <x:v>Mythic_Superhero_RPG_World_Constitution_v1.md — §25 Persistent Site Structure; §26 Dungeon Contract</x:v>
      </x:c>
      <x:c r="E80" s="110" t="str">
        <x:v>When the entity or event becomes relevant to the active viewpoint.</x:v>
      </x:c>
      <x:c r="F80" s="110" t="str">
        <x:v>Only entered/perceived/discovered geometry, conditions, exits, features, damage, occupants, and timestamps.</x:v>
      </x:c>
      <x:c r="G80" s="110" t="str">
        <x:v>Only observations, records, communications, and valid inferences in the active character's Knowledge Map.</x:v>
      </x:c>
      <x:c r="H80" s="110" t="str">
        <x:v>Unobserved Zones, secret Connections, contents, schedules, and exact canonical topology.</x:v>
      </x:c>
      <x:c r="I80" s="110" t="str">
        <x:v>Traverse, inspect, search, interact, destroy, create route, negotiate, leave, or return.</x:v>
      </x:c>
      <x:c r="J80" s="110" t="str">
        <x:v>Destructive topology changes show known collapse/evidence/occupant risks.</x:v>
      </x:c>
      <x:c r="K80" s="110" t="str">
        <x:v>Site remains persistent across save, re-entry, protagonist change, and absence.</x:v>
      </x:c>
      <x:c r="L80" s="110" t="str">
        <x:v>No geometry regeneration or content relocation after failed search.</x:v>
      </x:c>
      <x:c r="M80" s="110" t="str">
        <x:v>Show honest queued/loading/pending state; preserve the player's draft and current world version; do not imply completion.</x:v>
      </x:c>
      <x:c r="N80" s="110" t="str">
        <x:v>Stop or revalidate before commitment; identify the accessible state that changed; preserve intent; refresh the interpretation without leaking hidden causes.</x:v>
      </x:c>
      <x:c r="O80" s="110" t="str">
        <x:v>Event/record ID; campaign timestamp; state version; ruleset/tuning version where applicable; source/provenance; validator result; committed inputs and output.</x:v>
      </x:c>
      <x:c r="P80" s="110" t="str">
        <x:v>Keyboard and screen-reader operable; semantic status text; no hover, drag, motion, or color-only dependency; concise labels with expandable detail.</x:v>
      </x:c>
      <x:c r="Q80" s="110" t="str">
        <x:v>Exploration &amp; Site Map</x:v>
      </x:c>
      <x:c r="R80" s="110" t="str">
        <x:v>Living Stage</x:v>
      </x:c>
      <x:c r="S80" s="110" t="str">
        <x:v>Critical</x:v>
      </x:c>
      <x:c r="T80" s="110" t="str">
        <x:v>P0</x:v>
      </x:c>
      <x:c r="U80" s="110" t="str">
        <x:v>Covered</x:v>
      </x:c>
      <x:c r="V80" s="110" t="str"/>
      <x:c r="W80" s="110" t="str"/>
      <x:c r="X80" s="111" t="n">
        <x:f>COUNTA(K80:N80)/4</x:f>
        <x:v>1</x:v>
      </x:c>
      <x:c r="Y80" s="111" t="n">
        <x:f>COUNTA(F80:R80)/13</x:f>
        <x:v>1</x:v>
      </x:c>
      <x:c r="Z80" s="110" t="str">
        <x:f>IF(OR(U80="Gap",U80="Decision Required",S80="Critical",X80&lt;1,Y80&lt;1),"REVIEW","READY")</x:f>
        <x:v>REVIEW</x:v>
      </x:c>
    </x:row>
    <x:row r="81" ht="64" customHeight="1">
      <x:c r="A81" s="110" t="str">
        <x:v>EXP-002</x:v>
      </x:c>
      <x:c r="B81" s="110" t="str">
        <x:v>Survival, Travel &amp; Exploration</x:v>
      </x:c>
      <x:c r="C81" s="110" t="str">
        <x:v>Exploration Turns, roles, scope, and stop conditions</x:v>
      </x:c>
      <x:c r="D81" s="110" t="str">
        <x:v>Mythic_Superhero_RPG_World_Constitution_v1.md — §25 Exploration Turns and Activities</x:v>
      </x:c>
      <x:c r="E81" s="110" t="str">
        <x:v>When the entity or event becomes relevant to the active viewpoint.</x:v>
      </x:c>
      <x:c r="F81" s="110" t="str">
        <x:v>Declared aim, bounded scope, method, roles, ten-minute interval or exact duration, known risks, and stop condition.</x:v>
      </x:c>
      <x:c r="G81" s="110" t="str">
        <x:v>Only observations, records, communications, and valid inferences in the active character's Knowledge Map.</x:v>
      </x:c>
      <x:c r="H81" s="110" t="str">
        <x:v>Hidden eligibility, actors, and DCs outside procedure disclosure.</x:v>
      </x:c>
      <x:c r="I81" s="110" t="str">
        <x:v>Traverse, survey, search, interact, analyze, map, secure, guard, assist, or declare any other possible action.</x:v>
      </x:c>
      <x:c r="J81" s="110" t="str">
        <x:v>Time/cost/destructive method confirmed when material.</x:v>
      </x:c>
      <x:c r="K81" s="110" t="str">
        <x:v>Concurrent work advances by the longest activity and world processes continue.</x:v>
      </x:c>
      <x:c r="L81" s="110" t="str">
        <x:v>Free-form actions never disappear behind the activity list.</x:v>
      </x:c>
      <x:c r="M81" s="110" t="str">
        <x:v>Show honest queued/loading/pending state; preserve the player's draft and current world version; do not imply completion.</x:v>
      </x:c>
      <x:c r="N81" s="110" t="str">
        <x:v>Stop or revalidate before commitment; identify the accessible state that changed; preserve intent; refresh the interpretation without leaking hidden causes.</x:v>
      </x:c>
      <x:c r="O81" s="110" t="str">
        <x:v>Event/record ID; campaign timestamp; state version; ruleset/tuning version where applicable; source/provenance; validator result; committed inputs and output.</x:v>
      </x:c>
      <x:c r="P81" s="110" t="str">
        <x:v>Keyboard and screen-reader operable; semantic status text; no hover, drag, motion, or color-only dependency; concise labels with expandable detail.</x:v>
      </x:c>
      <x:c r="Q81" s="110" t="str">
        <x:v>Exploration &amp; Site Map</x:v>
      </x:c>
      <x:c r="R81" s="110" t="str">
        <x:v>Intent Dock</x:v>
      </x:c>
      <x:c r="S81" s="110" t="str">
        <x:v>High</x:v>
      </x:c>
      <x:c r="T81" s="110" t="str">
        <x:v>P0</x:v>
      </x:c>
      <x:c r="U81" s="110" t="str">
        <x:v>Covered</x:v>
      </x:c>
      <x:c r="V81" s="110" t="str"/>
      <x:c r="W81" s="110" t="str"/>
      <x:c r="X81" s="111" t="n">
        <x:f>COUNTA(K81:N81)/4</x:f>
        <x:v>1</x:v>
      </x:c>
      <x:c r="Y81" s="111" t="n">
        <x:f>COUNTA(F81:R81)/13</x:f>
        <x:v>1</x:v>
      </x:c>
      <x:c r="Z81" s="110" t="str">
        <x:f>IF(OR(U81="Gap",U81="Decision Required",S81="Critical",X81&lt;1,Y81&lt;1),"REVIEW","READY")</x:f>
        <x:v>READY</x:v>
      </x:c>
    </x:row>
    <x:row r="82" ht="64" customHeight="1">
      <x:c r="A82" s="110" t="str">
        <x:v>EXP-003</x:v>
      </x:c>
      <x:c r="B82" s="110" t="str">
        <x:v>Survival, Travel &amp; Exploration</x:v>
      </x:c>
      <x:c r="C82" s="110" t="str">
        <x:v>Search scope, access layers, senses, and repeated attempts</x:v>
      </x:c>
      <x:c r="D82" s="110" t="str">
        <x:v>Mythic_Superhero_RPG_World_Constitution_v1.md — §25 Search Scope/Resolution</x:v>
      </x:c>
      <x:c r="E82" s="110" t="str">
        <x:v>When the entity or event becomes relevant to the active viewpoint.</x:v>
      </x:c>
      <x:c r="F82" s="110" t="str">
        <x:v>Declared Zone/object/system scope, accessible layer, method/time, senses/tools, preservation/noise implications, and revealed features.</x:v>
      </x:c>
      <x:c r="G82" s="110" t="str">
        <x:v>Only observations, records, communications, and valid inferences in the active character's Knowledge Map.</x:v>
      </x:c>
      <x:c r="H82" s="110" t="str">
        <x:v>Number and location of undiscovered features and inaccessible deeper layers.</x:v>
      </x:c>
      <x:c r="I82" s="110" t="str">
        <x:v>Rapid/focused/systematic search, Take 20, change method/sense/access/vantage, manipulate, destroy, or stop.</x:v>
      </x:c>
      <x:c r="J82" s="110" t="str">
        <x:v>Evidence-damaging or hazardous search method requires confirmation.</x:v>
      </x:c>
      <x:c r="K82" s="110" t="str">
        <x:v>One roll compares against every eligible committed Feature without revealing hidden count.</x:v>
      </x:c>
      <x:c r="L82" s="110" t="str">
        <x:v>Unchanged Search Attempt Key cannot reroll; failure never relocates the Feature.</x:v>
      </x:c>
      <x:c r="M82" s="110" t="str">
        <x:v>Show honest queued/loading/pending state; preserve the player's draft and current world version; do not imply completion.</x:v>
      </x:c>
      <x:c r="N82" s="110" t="str">
        <x:v>Stop or revalidate before commitment; identify the accessible state that changed; preserve intent; refresh the interpretation without leaking hidden causes.</x:v>
      </x:c>
      <x:c r="O82" s="110" t="str">
        <x:v>Event/record ID; campaign timestamp; state version; ruleset/tuning version where applicable; source/provenance; validator result; committed inputs and output.</x:v>
      </x:c>
      <x:c r="P82" s="110" t="str">
        <x:v>Keyboard and screen-reader operable; semantic status text; no hover, drag, motion, or color-only dependency; concise labels with expandable detail.</x:v>
      </x:c>
      <x:c r="Q82" s="110" t="str">
        <x:v>Exploration &amp; Site Map</x:v>
      </x:c>
      <x:c r="R82" s="110" t="str">
        <x:v>Context Lens</x:v>
      </x:c>
      <x:c r="S82" s="110" t="str">
        <x:v>Critical</x:v>
      </x:c>
      <x:c r="T82" s="110" t="str">
        <x:v>P0</x:v>
      </x:c>
      <x:c r="U82" s="110" t="str">
        <x:v>Covered</x:v>
      </x:c>
      <x:c r="V82" s="110" t="str"/>
      <x:c r="W82" s="110" t="str"/>
      <x:c r="X82" s="111" t="n">
        <x:f>COUNTA(K82:N82)/4</x:f>
        <x:v>1</x:v>
      </x:c>
      <x:c r="Y82" s="111" t="n">
        <x:f>COUNTA(F82:R82)/13</x:f>
        <x:v>1</x:v>
      </x:c>
      <x:c r="Z82" s="110" t="str">
        <x:f>IF(OR(U82="Gap",U82="Decision Required",S82="Critical",X82&lt;1,Y82&lt;1),"REVIEW","READY")</x:f>
        <x:v>REVIEW</x:v>
      </x:c>
    </x:row>
    <x:row r="83" ht="64" customHeight="1">
      <x:c r="A83" s="110" t="str">
        <x:v>EXP-004</x:v>
      </x:c>
      <x:c r="B83" s="110" t="str">
        <x:v>Survival, Travel &amp; Exploration</x:v>
      </x:c>
      <x:c r="C83" s="110" t="str">
        <x:v>Fog of war, discovery state, mapping, and landmarks</x:v>
      </x:c>
      <x:c r="D83" s="110" t="str">
        <x:v>Mythic_Superhero_RPG_World_Constitution_v1.md — §25 Location Discovery/Fog/Mapping</x:v>
      </x:c>
      <x:c r="E83" s="110" t="str">
        <x:v>When the entity or event becomes relevant to the active viewpoint.</x:v>
      </x:c>
      <x:c r="F83" s="110" t="str">
        <x:v>Reported, Located, Entered, Surveyed, or Mapped state; source, map quality, last verification, known geometry, and last-known actors.</x:v>
      </x:c>
      <x:c r="G83" s="110" t="str">
        <x:v>Only observations, records, communications, and valid inferences in the active character's Knowledge Map.</x:v>
      </x:c>
      <x:c r="H83" s="110" t="str">
        <x:v>Canonical geometry in Unknown areas, current dynamic actors outside senses, completion based on secrets.</x:v>
      </x:c>
      <x:c r="I83" s="110" t="str">
        <x:v>Map, cross-check, annotate, share, compare, navigate, update, or distrust a forged/stale map.</x:v>
      </x:c>
      <x:c r="J83" s="110" t="str">
        <x:v>Publishing/sharing sensitive maps uses normal information consequences.</x:v>
      </x:c>
      <x:c r="K83" s="110" t="str">
        <x:v>Known map persists and becomes stale as the Site changes.</x:v>
      </x:c>
      <x:c r="L83" s="110" t="str">
        <x:v>Mapping failure marks uncertainty and cannot certify incorrect geometry without a real error source.</x:v>
      </x:c>
      <x:c r="M83" s="110" t="str">
        <x:v>Show honest queued/loading/pending state; preserve the player's draft and current world version; do not imply completion.</x:v>
      </x:c>
      <x:c r="N83" s="110" t="str">
        <x:v>Stop or revalidate before commitment; identify the accessible state that changed; preserve intent; refresh the interpretation without leaking hidden causes.</x:v>
      </x:c>
      <x:c r="O83" s="110" t="str">
        <x:v>Event/record ID; campaign timestamp; state version; ruleset/tuning version where applicable; source/provenance; validator result; committed inputs and output.</x:v>
      </x:c>
      <x:c r="P83" s="110" t="str">
        <x:v>Keyboard and screen-reader operable; semantic status text; no hover, drag, motion, or color-only dependency; concise labels with expandable detail.</x:v>
      </x:c>
      <x:c r="Q83" s="110" t="str">
        <x:v>World Map &amp; Knowledge Map</x:v>
      </x:c>
      <x:c r="R83" s="110" t="str">
        <x:v>Exploration &amp; Site Map</x:v>
      </x:c>
      <x:c r="S83" s="110" t="str">
        <x:v>Critical</x:v>
      </x:c>
      <x:c r="T83" s="110" t="str">
        <x:v>P0</x:v>
      </x:c>
      <x:c r="U83" s="110" t="str">
        <x:v>Covered</x:v>
      </x:c>
      <x:c r="V83" s="110" t="str"/>
      <x:c r="W83" s="110" t="str"/>
      <x:c r="X83" s="111" t="n">
        <x:f>COUNTA(K83:N83)/4</x:f>
        <x:v>1</x:v>
      </x:c>
      <x:c r="Y83" s="111" t="n">
        <x:f>COUNTA(F83:R83)/13</x:f>
        <x:v>1</x:v>
      </x:c>
      <x:c r="Z83" s="110" t="str">
        <x:f>IF(OR(U83="Gap",U83="Decision Required",S83="Critical",X83&lt;1,Y83&lt;1),"REVIEW","READY")</x:f>
        <x:v>REVIEW</x:v>
      </x:c>
    </x:row>
    <x:row r="84" ht="64" customHeight="1">
      <x:c r="A84" s="110" t="str">
        <x:v>EXP-005</x:v>
      </x:c>
      <x:c r="B84" s="110" t="str">
        <x:v>Survival, Travel &amp; Exploration</x:v>
      </x:c>
      <x:c r="C84" s="110" t="str">
        <x:v>Evidence collection, custody, analysis, and destruction</x:v>
      </x:c>
      <x:c r="D84" s="110" t="str">
        <x:v>Mythic_Superhero_RPG_World_Constitution_v1.md — §25 Clues/Evidence/Analysis</x:v>
      </x:c>
      <x:c r="E84" s="110" t="str">
        <x:v>When the entity or event becomes relevant to the active viewpoint.</x:v>
      </x:c>
      <x:c r="F84" s="110" t="str">
        <x:v>Observable content, location, custody, Integrity/Relevance/Provenance as legally known, contamination, Claims, Leads, and analysis method.</x:v>
      </x:c>
      <x:c r="G84" s="110" t="str">
        <x:v>Only observations, records, communications, and valid inferences in the active character's Knowledge Map.</x:v>
      </x:c>
      <x:c r="H84" s="110" t="str">
        <x:v>Unsupported interpretation, inaccessible properties, canonical truth link, and hidden tampering until detected.</x:v>
      </x:c>
      <x:c r="I84" s="110" t="str">
        <x:v>Collect, preserve, copy, test, analyze a question, compare, share, submit, conceal, alter, or destroy.</x:v>
      </x:c>
      <x:c r="J84" s="110" t="str">
        <x:v>Destructive collection/testing, forgery, public release, and chain-breaking transfer require clear consequences.</x:v>
      </x:c>
      <x:c r="K84" s="110" t="str">
        <x:v>Evidence and derived copies retain chain and source relation.</x:v>
      </x:c>
      <x:c r="L84" s="110" t="str">
        <x:v>No roll manufactures missing data or restores information that no longer survives.</x:v>
      </x:c>
      <x:c r="M84" s="110" t="str">
        <x:v>Show honest queued/loading/pending state; preserve the player's draft and current world version; do not imply completion.</x:v>
      </x:c>
      <x:c r="N84" s="110" t="str">
        <x:v>Stop or revalidate before commitment; identify the accessible state that changed; preserve intent; refresh the interpretation without leaking hidden causes.</x:v>
      </x:c>
      <x:c r="O84" s="110" t="str">
        <x:v>Event/record ID; campaign timestamp; state version; ruleset/tuning version where applicable; source/provenance; validator result; committed inputs and output.</x:v>
      </x:c>
      <x:c r="P84" s="110" t="str">
        <x:v>Keyboard and screen-reader operable; semantic status text; no hover, drag, motion, or color-only dependency; concise labels with expandable detail.</x:v>
      </x:c>
      <x:c r="Q84" s="110" t="str">
        <x:v>Case Graph &amp; Evidence</x:v>
      </x:c>
      <x:c r="R84" s="110" t="str">
        <x:v>Exploration &amp; Site Map</x:v>
      </x:c>
      <x:c r="S84" s="110" t="str">
        <x:v>Critical</x:v>
      </x:c>
      <x:c r="T84" s="110" t="str">
        <x:v>P0</x:v>
      </x:c>
      <x:c r="U84" s="110" t="str">
        <x:v>Covered</x:v>
      </x:c>
      <x:c r="V84" s="110" t="str"/>
      <x:c r="W84" s="110" t="str"/>
      <x:c r="X84" s="111" t="n">
        <x:f>COUNTA(K84:N84)/4</x:f>
        <x:v>1</x:v>
      </x:c>
      <x:c r="Y84" s="111" t="n">
        <x:f>COUNTA(F84:R84)/13</x:f>
        <x:v>1</x:v>
      </x:c>
      <x:c r="Z84" s="110" t="str">
        <x:f>IF(OR(U84="Gap",U84="Decision Required",S84="Critical",X84&lt;1,Y84&lt;1),"REVIEW","READY")</x:f>
        <x:v>REVIEW</x:v>
      </x:c>
    </x:row>
    <x:row r="85" ht="64" customHeight="1">
      <x:c r="A85" s="110" t="str">
        <x:v>EXP-006</x:v>
      </x:c>
      <x:c r="B85" s="110" t="str">
        <x:v>Survival, Travel &amp; Exploration</x:v>
      </x:c>
      <x:c r="C85" s="110" t="str">
        <x:v>Procedural Site seed, materialization, and validation</x:v>
      </x:c>
      <x:c r="D85" s="110" t="str">
        <x:v>Mythic_Superhero_RPG_World_Constitution_v1.md — §26 Generation Authority/Seeds/Materialization</x:v>
      </x:c>
      <x:c r="E85" s="110" t="str">
        <x:v>When the entity or event becomes relevant to the active viewpoint.</x:v>
      </x:c>
      <x:c r="F85" s="110" t="str">
        <x:v>Only generated content that has entered the permitted viewpoint; developer audit may see manifest/seed/version.</x:v>
      </x:c>
      <x:c r="G85" s="110" t="str">
        <x:v>Only observations, records, communications, and valid inferences in the active character's Knowledge Map.</x:v>
      </x:c>
      <x:c r="H85" s="110" t="str">
        <x:v>Unobserved topology, inhabitants, hazards, secrets, and retry candidates.</x:v>
      </x:c>
      <x:c r="I85" s="110" t="str">
        <x:v>Explore, alter, leave, reload, return, or test deterministic replay where authorized.</x:v>
      </x:c>
      <x:c r="J85" s="110" t="str">
        <x:v>No player confirmation for materialization; destructive actions use normal review.</x:v>
      </x:c>
      <x:c r="K85" s="110" t="str">
        <x:v>First valid seeded candidate is committed before relevant checks.</x:v>
      </x:c>
      <x:c r="L85" s="110" t="str">
        <x:v>Reload/re-entry never rerolls an unfavorable layout.</x:v>
      </x:c>
      <x:c r="M85" s="110" t="str">
        <x:v>Show honest queued/loading/pending state; preserve the player's draft and current world version; do not imply completion.</x:v>
      </x:c>
      <x:c r="N85" s="110" t="str">
        <x:v>Stop or revalidate before commitment; identify the accessible state that changed; preserve intent; refresh the interpretation without leaking hidden causes.</x:v>
      </x:c>
      <x:c r="O85" s="110" t="str">
        <x:v>Event/record ID; campaign timestamp; state version; ruleset/tuning version where applicable; source/provenance; validator result; committed inputs and output.</x:v>
      </x:c>
      <x:c r="P85" s="110" t="str">
        <x:v>Keyboard and screen-reader operable; semantic status text; no hover, drag, motion, or color-only dependency; concise labels with expandable detail.</x:v>
      </x:c>
      <x:c r="Q85" s="110" t="str">
        <x:v>Exploration &amp; Site Map</x:v>
      </x:c>
      <x:c r="R85" s="110" t="str">
        <x:v>Chronicle &amp; Audit</x:v>
      </x:c>
      <x:c r="S85" s="110" t="str">
        <x:v>Critical</x:v>
      </x:c>
      <x:c r="T85" s="110" t="str">
        <x:v>P0</x:v>
      </x:c>
      <x:c r="U85" s="110" t="str">
        <x:v>Covered</x:v>
      </x:c>
      <x:c r="V85" s="110" t="str"/>
      <x:c r="W85" s="110" t="str"/>
      <x:c r="X85" s="111" t="n">
        <x:f>COUNTA(K85:N85)/4</x:f>
        <x:v>1</x:v>
      </x:c>
      <x:c r="Y85" s="111" t="n">
        <x:f>COUNTA(F85:R85)/13</x:f>
        <x:v>1</x:v>
      </x:c>
      <x:c r="Z85" s="110" t="str">
        <x:f>IF(OR(U85="Gap",U85="Decision Required",S85="Critical",X85&lt;1,Y85&lt;1),"REVIEW","READY")</x:f>
        <x:v>REVIEW</x:v>
      </x:c>
    </x:row>
    <x:row r="86" ht="64" customHeight="1">
      <x:c r="A86" s="110" t="str">
        <x:v>EXP-007</x:v>
      </x:c>
      <x:c r="B86" s="110" t="str">
        <x:v>Survival, Travel &amp; Exploration</x:v>
      </x:c>
      <x:c r="C86" s="110" t="str">
        <x:v>Site persistence, destruction, transformation, repair, and repopulation</x:v>
      </x:c>
      <x:c r="D86" s="110" t="str">
        <x:v>Mythic_Superhero_RPG_World_Constitution_v1.md — §26 Persistence/Destruction/Repopulation</x:v>
      </x:c>
      <x:c r="E86" s="110" t="str">
        <x:v>When the entity or event becomes relevant to the active viewpoint.</x:v>
      </x:c>
      <x:c r="F86" s="110" t="str">
        <x:v>Observed structural state, opened routes, bodies, depleted stock, ownership, hazards, repairs, new inhabitants, and timestamps.</x:v>
      </x:c>
      <x:c r="G86" s="110" t="str">
        <x:v>Only observations, records, communications, and valid inferences in the active character's Knowledge Map.</x:v>
      </x:c>
      <x:c r="H86" s="110" t="str">
        <x:v>Unobserved arrivals and repairs until learned; no causal source is implied automatically.</x:v>
      </x:c>
      <x:c r="I86" s="110" t="str">
        <x:v>Destroy, reinforce, repair, occupy, claim, abandon, revisit, loot, create traps/signs, or monitor.</x:v>
      </x:c>
      <x:c r="J86" s="110" t="str">
        <x:v>Major collapse, destruction, or abandonment with known dependents/objectives requires explicit commitment.</x:v>
      </x:c>
      <x:c r="K86" s="110" t="str">
        <x:v>Topology and population change only through actual processes.</x:v>
      </x:c>
      <x:c r="L86" s="110" t="str">
        <x:v>Defeated enemies do not respawn and supplies do not refill without production/delivery.</x:v>
      </x:c>
      <x:c r="M86" s="110" t="str">
        <x:v>Show honest queued/loading/pending state; preserve the player's draft and current world version; do not imply completion.</x:v>
      </x:c>
      <x:c r="N86" s="110" t="str">
        <x:v>Stop or revalidate before commitment; identify the accessible state that changed; preserve intent; refresh the interpretation without leaking hidden causes.</x:v>
      </x:c>
      <x:c r="O86" s="110" t="str">
        <x:v>Event/record ID; campaign timestamp; state version; ruleset/tuning version where applicable; source/provenance; validator result; committed inputs and output.</x:v>
      </x:c>
      <x:c r="P86" s="110" t="str">
        <x:v>Keyboard and screen-reader operable; semantic status text; no hover, drag, motion, or color-only dependency; concise labels with expandable detail.</x:v>
      </x:c>
      <x:c r="Q86" s="110" t="str">
        <x:v>Exploration &amp; Site Map</x:v>
      </x:c>
      <x:c r="R86" s="110" t="str">
        <x:v>Factions &amp; Fronts</x:v>
      </x:c>
      <x:c r="S86" s="110" t="str">
        <x:v>Critical</x:v>
      </x:c>
      <x:c r="T86" s="110" t="str">
        <x:v>P0</x:v>
      </x:c>
      <x:c r="U86" s="110" t="str">
        <x:v>Covered</x:v>
      </x:c>
      <x:c r="V86" s="110" t="str"/>
      <x:c r="W86" s="110" t="str"/>
      <x:c r="X86" s="111" t="n">
        <x:f>COUNTA(K86:N86)/4</x:f>
        <x:v>1</x:v>
      </x:c>
      <x:c r="Y86" s="111" t="n">
        <x:f>COUNTA(F86:R86)/13</x:f>
        <x:v>1</x:v>
      </x:c>
      <x:c r="Z86" s="110" t="str">
        <x:f>IF(OR(U86="Gap",U86="Decision Required",S86="Critical",X86&lt;1,Y86&lt;1),"REVIEW","READY")</x:f>
        <x:v>REVIEW</x:v>
      </x:c>
    </x:row>
    <x:row r="87" ht="64" customHeight="1">
      <x:c r="A87" s="110" t="str">
        <x:v>EXP-008</x:v>
      </x:c>
      <x:c r="B87" s="110" t="str">
        <x:v>Survival, Travel &amp; Exploration</x:v>
      </x:c>
      <x:c r="C87" s="110" t="str">
        <x:v>Site inhabitants, schedules, Alert, and reinforcements</x:v>
      </x:c>
      <x:c r="D87" s="110" t="str">
        <x:v>Mythic_Superhero_RPG_World_Constitution_v1.md — §26 Inhabitants/Site Alert/Tactical Geometry</x:v>
      </x:c>
      <x:c r="E87" s="110" t="str">
        <x:v>When the entity or event becomes relevant to the active viewpoint.</x:v>
      </x:c>
      <x:c r="F87" s="110" t="str">
        <x:v>Perceived actors, observable routines, known Alert indicators, alarms, movement, communications, and arriving reinforcements from valid routes.</x:v>
      </x:c>
      <x:c r="G87" s="110" t="str">
        <x:v>Only observations, records, communications, and valid inferences in the active character's Knowledge Map.</x:v>
      </x:c>
      <x:c r="H87" s="110" t="str">
        <x:v>Private schedules, exact Alert, hidden actors, and response plans until evidence exists.</x:v>
      </x:c>
      <x:c r="I87" s="110" t="str">
        <x:v>Observe, distract, deceive, negotiate, infiltrate, sabotage, trigger/quiet alarms, flee, or attack.</x:v>
      </x:c>
      <x:c r="J87" s="110" t="str">
        <x:v>Actions likely to expose identity or trigger known lockdown show the risk.</x:v>
      </x:c>
      <x:c r="K87" s="110" t="str">
        <x:v>Alert changes actual decisions/positions/access without creating enemies.</x:v>
      </x:c>
      <x:c r="L87" s="110" t="str">
        <x:v>Opponents cannot react to an intrusion they did not detect.</x:v>
      </x:c>
      <x:c r="M87" s="110" t="str">
        <x:v>Show honest queued/loading/pending state; preserve the player's draft and current world version; do not imply completion.</x:v>
      </x:c>
      <x:c r="N87" s="110" t="str">
        <x:v>Stop or revalidate before commitment; identify the accessible state that changed; preserve intent; refresh the interpretation without leaking hidden causes.</x:v>
      </x:c>
      <x:c r="O87" s="110" t="str">
        <x:v>Event/record ID; campaign timestamp; state version; ruleset/tuning version where applicable; source/provenance; validator result; committed inputs and output.</x:v>
      </x:c>
      <x:c r="P87" s="110" t="str">
        <x:v>Keyboard and screen-reader operable; semantic status text; no hover, drag, motion, or color-only dependency; concise labels with expandable detail.</x:v>
      </x:c>
      <x:c r="Q87" s="110" t="str">
        <x:v>Exploration &amp; Site Map</x:v>
      </x:c>
      <x:c r="R87" s="110" t="str">
        <x:v>Living Stage</x:v>
      </x:c>
      <x:c r="S87" s="110" t="str">
        <x:v>Critical</x:v>
      </x:c>
      <x:c r="T87" s="110" t="str">
        <x:v>P1</x:v>
      </x:c>
      <x:c r="U87" s="110" t="str">
        <x:v>Covered</x:v>
      </x:c>
      <x:c r="V87" s="110" t="str"/>
      <x:c r="W87" s="110" t="str"/>
      <x:c r="X87" s="111" t="n">
        <x:f>COUNTA(K87:N87)/4</x:f>
        <x:v>1</x:v>
      </x:c>
      <x:c r="Y87" s="111" t="n">
        <x:f>COUNTA(F87:R87)/13</x:f>
        <x:v>1</x:v>
      </x:c>
      <x:c r="Z87" s="110" t="str">
        <x:f>IF(OR(U87="Gap",U87="Decision Required",S87="Critical",X87&lt;1,Y87&lt;1),"REVIEW","READY")</x:f>
        <x:v>REVIEW</x:v>
      </x:c>
    </x:row>
    <x:row r="88" ht="64" customHeight="1">
      <x:c r="A88" s="110" t="str">
        <x:v>PTY-001</x:v>
      </x:c>
      <x:c r="B88" s="110" t="str">
        <x:v>Party, Relationships &amp; Autonomy</x:v>
      </x:c>
      <x:c r="C88" s="110" t="str">
        <x:v>Directed relationship graph</x:v>
      </x:c>
      <x:c r="D88" s="110" t="str">
        <x:v>Mythic_Superhero_RPG_World_Constitution_v1.md — §27 Relationship Graph/Dimensions</x:v>
      </x:c>
      <x:c r="E88" s="110" t="str">
        <x:v>When the entity or event becomes relevant to the active viewpoint.</x:v>
      </x:c>
      <x:c r="F88" s="110" t="str">
        <x:v>Observable behavior, disclosed feelings, valid Insight conclusions, promises, boundaries, shared history, and qualitative state.</x:v>
      </x:c>
      <x:c r="G88" s="110" t="str">
        <x:v>Only observations, records, communications, and valid inferences in the active character's Knowledge Map.</x:v>
      </x:c>
      <x:c r="H88" s="110" t="str">
        <x:v>Exact private values, secret grievance, attraction, motive, and undisclosed information.</x:v>
      </x:c>
      <x:c r="I88" s="110" t="str">
        <x:v>Interact freely, ask, apologize, negotiate, support, exploit, betray, give, distance, or redefine relationship.</x:v>
      </x:c>
      <x:c r="J88" s="110" t="str">
        <x:v>Defining promises, consent, betrayal, and relationship agreements require explicit player choice.</x:v>
      </x:c>
      <x:c r="K88" s="110" t="str">
        <x:v>Meaningful events change directed dimensions with recorded evidence.</x:v>
      </x:c>
      <x:c r="L88" s="110" t="str">
        <x:v>Repeated gifts/dialogue do not farm values; UI never treats relationship as a progress bar to obedience.</x:v>
      </x:c>
      <x:c r="M88" s="110" t="str">
        <x:v>Show honest queued/loading/pending state; preserve the player's draft and current world version; do not imply completion.</x:v>
      </x:c>
      <x:c r="N88" s="110" t="str">
        <x:v>Stop or revalidate before commitment; identify the accessible state that changed; preserve intent; refresh the interpretation without leaking hidden causes.</x:v>
      </x:c>
      <x:c r="O88" s="110" t="str">
        <x:v>Event/record ID; campaign timestamp; state version; ruleset/tuning version where applicable; source/provenance; validator result; committed inputs and output.</x:v>
      </x:c>
      <x:c r="P88" s="110" t="str">
        <x:v>Keyboard and screen-reader operable; semantic status text; no hover, drag, motion, or color-only dependency; concise labels with expandable detail.</x:v>
      </x:c>
      <x:c r="Q88" s="110" t="str">
        <x:v>Party &amp; Relationships</x:v>
      </x:c>
      <x:c r="R88" s="110" t="str">
        <x:v>Context Lens</x:v>
      </x:c>
      <x:c r="S88" s="110" t="str">
        <x:v>Critical</x:v>
      </x:c>
      <x:c r="T88" s="110" t="str">
        <x:v>P0</x:v>
      </x:c>
      <x:c r="U88" s="110" t="str">
        <x:v>Gap</x:v>
      </x:c>
      <x:c r="V88" s="110" t="str">
        <x:v>GAP-004</x:v>
      </x:c>
      <x:c r="W88" s="110" t="str"/>
      <x:c r="X88" s="111" t="n">
        <x:f>COUNTA(K88:N88)/4</x:f>
        <x:v>1</x:v>
      </x:c>
      <x:c r="Y88" s="111" t="n">
        <x:f>COUNTA(F88:R88)/13</x:f>
        <x:v>1</x:v>
      </x:c>
      <x:c r="Z88" s="110" t="str">
        <x:f>IF(OR(U88="Gap",U88="Decision Required",S88="Critical",X88&lt;1,Y88&lt;1),"REVIEW","READY")</x:f>
        <x:v>REVIEW</x:v>
      </x:c>
    </x:row>
    <x:row r="89" ht="64" customHeight="1">
      <x:c r="A89" s="110" t="str">
        <x:v>PTY-002</x:v>
      </x:c>
      <x:c r="B89" s="110" t="str">
        <x:v>Party, Relationships &amp; Autonomy</x:v>
      </x:c>
      <x:c r="C89" s="110" t="str">
        <x:v>Recruitment offer, terms, acceptance, refusal, and coercion</x:v>
      </x:c>
      <x:c r="D89" s="110" t="str">
        <x:v>Mythic_Superhero_RPG_World_Constitution_v1.md — §27 Recruitment Offer/Resolution</x:v>
      </x:c>
      <x:c r="E89" s="110" t="str">
        <x:v>When the entity or event becomes relevant to the active viewpoint.</x:v>
      </x:c>
      <x:c r="F89" s="110" t="str">
        <x:v>Purpose, role, duration, compensation, risks, authority, ownership, boundaries, exit rights, candidate response, and counteroffer.</x:v>
      </x:c>
      <x:c r="G89" s="110" t="str">
        <x:v>Only observations, records, communications, and valid inferences in the active character's Knowledge Map.</x:v>
      </x:c>
      <x:c r="H89" s="110" t="str">
        <x:v>Private resistance factors and plans outside observed/disclosed behavior.</x:v>
      </x:c>
      <x:c r="I89" s="110" t="str">
        <x:v>Offer, revise terms, negotiate, deceive, intimidate, coerce through valid leverage, accept counteroffer, or walk away.</x:v>
      </x:c>
      <x:c r="J89" s="110" t="str">
        <x:v>Exact terms and coercive status are explicit before commitment.</x:v>
      </x:c>
      <x:c r="K89" s="110" t="str">
        <x:v>Candidate accepts the committed terms or autonomously refuses/counteroffers within outcome boundary.</x:v>
      </x:c>
      <x:c r="L89" s="110" t="str">
        <x:v>No roll crosses an impossible boundary or converts a person into inventory.</x:v>
      </x:c>
      <x:c r="M89" s="110" t="str">
        <x:v>Show honest queued/loading/pending state; preserve the player's draft and current world version; do not imply completion.</x:v>
      </x:c>
      <x:c r="N89" s="110" t="str">
        <x:v>Stop or revalidate before commitment; identify the accessible state that changed; preserve intent; refresh the interpretation without leaking hidden causes.</x:v>
      </x:c>
      <x:c r="O89" s="110" t="str">
        <x:v>Event/record ID; campaign timestamp; state version; ruleset/tuning version where applicable; source/provenance; validator result; committed inputs and output.</x:v>
      </x:c>
      <x:c r="P89" s="110" t="str">
        <x:v>Keyboard and screen-reader operable; semantic status text; no hover, drag, motion, or color-only dependency; concise labels with expandable detail.</x:v>
      </x:c>
      <x:c r="Q89" s="110" t="str">
        <x:v>Party &amp; Relationships</x:v>
      </x:c>
      <x:c r="R89" s="110" t="str">
        <x:v>Living Stage</x:v>
      </x:c>
      <x:c r="S89" s="110" t="str">
        <x:v>Critical</x:v>
      </x:c>
      <x:c r="T89" s="110" t="str">
        <x:v>P0</x:v>
      </x:c>
      <x:c r="U89" s="110" t="str">
        <x:v>Covered</x:v>
      </x:c>
      <x:c r="V89" s="110" t="str"/>
      <x:c r="W89" s="110" t="str"/>
      <x:c r="X89" s="111" t="n">
        <x:f>COUNTA(K89:N89)/4</x:f>
        <x:v>1</x:v>
      </x:c>
      <x:c r="Y89" s="111" t="n">
        <x:f>COUNTA(F89:R89)/13</x:f>
        <x:v>1</x:v>
      </x:c>
      <x:c r="Z89" s="110" t="str">
        <x:f>IF(OR(U89="Gap",U89="Decision Required",S89="Critical",X89&lt;1,Y89&lt;1),"REVIEW","READY")</x:f>
        <x:v>REVIEW</x:v>
      </x:c>
    </x:row>
    <x:row r="90" ht="64" customHeight="1">
      <x:c r="A90" s="110" t="str">
        <x:v>PTY-003</x:v>
      </x:c>
      <x:c r="B90" s="110" t="str">
        <x:v>Party, Relationships &amp; Autonomy</x:v>
      </x:c>
      <x:c r="C90" s="110" t="str">
        <x:v>Requests, orders, delegation, refusal, and counterproposal</x:v>
      </x:c>
      <x:c r="D90" s="110" t="str">
        <x:v>Mythic_Superhero_RPG_World_Constitution_v1.md — §27 Requests/Orders/Companion Modes</x:v>
      </x:c>
      <x:c r="E90" s="110" t="str">
        <x:v>When the entity or event becomes relevant to the active viewpoint.</x:v>
      </x:c>
      <x:c r="F90" s="110" t="str">
        <x:v>Recognized authority/role, request, known risk/cost, stated boundary, consent, refusal/counterproposal, and delegated scope.</x:v>
      </x:c>
      <x:c r="G90" s="110" t="str">
        <x:v>Only observations, records, communications, and valid inferences in the active character's Knowledge Map.</x:v>
      </x:c>
      <x:c r="H90" s="110" t="str">
        <x:v>Private DC components, Drives, and future retaliation plans.</x:v>
      </x:c>
      <x:c r="I90" s="110" t="str">
        <x:v>Ask, order within legitimate authority, explain, bargain, compensate, revise, withdraw, coerce through explicit mechanics, or act independently.</x:v>
      </x:c>
      <x:c r="J90" s="110" t="str">
        <x:v>Player cannot directly spend companion resources or choose an unacceptable delegated action without valid authority/consent.</x:v>
      </x:c>
      <x:c r="K90" s="110" t="str">
        <x:v>Willing agreement or supported refusal remains understandable and playable.</x:v>
      </x:c>
      <x:c r="L90" s="110" t="str">
        <x:v>Commander Direct and tactical delegation never override willingness.</x:v>
      </x:c>
      <x:c r="M90" s="110" t="str">
        <x:v>Show honest queued/loading/pending state; preserve the player's draft and current world version; do not imply completion.</x:v>
      </x:c>
      <x:c r="N90" s="110" t="str">
        <x:v>Stop or revalidate before commitment; identify the accessible state that changed; preserve intent; refresh the interpretation without leaking hidden causes.</x:v>
      </x:c>
      <x:c r="O90" s="110" t="str">
        <x:v>Event/record ID; campaign timestamp; state version; ruleset/tuning version where applicable; source/provenance; validator result; committed inputs and output.</x:v>
      </x:c>
      <x:c r="P90" s="110" t="str">
        <x:v>Keyboard and screen-reader operable; semantic status text; no hover, drag, motion, or color-only dependency; concise labels with expandable detail.</x:v>
      </x:c>
      <x:c r="Q90" s="110" t="str">
        <x:v>Party &amp; Relationships</x:v>
      </x:c>
      <x:c r="R90" s="110" t="str">
        <x:v>Intent Dock</x:v>
      </x:c>
      <x:c r="S90" s="110" t="str">
        <x:v>Critical</x:v>
      </x:c>
      <x:c r="T90" s="110" t="str">
        <x:v>P0</x:v>
      </x:c>
      <x:c r="U90" s="110" t="str">
        <x:v>Covered</x:v>
      </x:c>
      <x:c r="V90" s="110" t="str"/>
      <x:c r="W90" s="110" t="str"/>
      <x:c r="X90" s="111" t="n">
        <x:f>COUNTA(K90:N90)/4</x:f>
        <x:v>1</x:v>
      </x:c>
      <x:c r="Y90" s="111" t="n">
        <x:f>COUNTA(F90:R90)/13</x:f>
        <x:v>1</x:v>
      </x:c>
      <x:c r="Z90" s="110" t="str">
        <x:f>IF(OR(U90="Gap",U90="Decision Required",S90="Critical",X90&lt;1,Y90&lt;1),"REVIEW","READY")</x:f>
        <x:v>REVIEW</x:v>
      </x:c>
    </x:row>
    <x:row r="91" ht="64" customHeight="1">
      <x:c r="A91" s="110" t="str">
        <x:v>PTY-004</x:v>
      </x:c>
      <x:c r="B91" s="110" t="str">
        <x:v>Party, Relationships &amp; Autonomy</x:v>
      </x:c>
      <x:c r="C91" s="110" t="str">
        <x:v>Grievance, conflict, apology, restitution, and repair</x:v>
      </x:c>
      <x:c r="D91" s="110" t="str">
        <x:v>Mythic_Superhero_RPG_World_Constitution_v1.md — §27 Grievances/Repair</x:v>
      </x:c>
      <x:c r="E91" s="110" t="str">
        <x:v>When the entity or event becomes relevant to the active viewpoint.</x:v>
      </x:c>
      <x:c r="F91" s="110" t="str">
        <x:v>Known injury, what the character says/believes happened, requested repair/boundary, progress through actions, and relationship changes.</x:v>
      </x:c>
      <x:c r="G91" s="110" t="str">
        <x:v>Only observations, records, communications, and valid inferences in the active character's Knowledge Map.</x:v>
      </x:c>
      <x:c r="H91" s="110" t="str">
        <x:v>Undisclosed grievance or private willingness to reconcile.</x:v>
      </x:c>
      <x:c r="I91" s="110" t="str">
        <x:v>Acknowledge, deny, investigate, apologize, make restitution, change behavior, negotiate, forgive, refuse, or end relationship.</x:v>
      </x:c>
      <x:c r="J91" s="110" t="str">
        <x:v>Promises and costly restitution are explicit commitments.</x:v>
      </x:c>
      <x:c r="K91" s="110" t="str">
        <x:v>Repair progresses through meaningful actions and ends at a real decision point.</x:v>
      </x:c>
      <x:c r="L91" s="110" t="str">
        <x:v>Apology cannot automatically erase harm or compel forgiveness.</x:v>
      </x:c>
      <x:c r="M91" s="110" t="str">
        <x:v>Show honest queued/loading/pending state; preserve the player's draft and current world version; do not imply completion.</x:v>
      </x:c>
      <x:c r="N91" s="110" t="str">
        <x:v>Stop or revalidate before commitment; identify the accessible state that changed; preserve intent; refresh the interpretation without leaking hidden causes.</x:v>
      </x:c>
      <x:c r="O91" s="110" t="str">
        <x:v>Event/record ID; campaign timestamp; state version; ruleset/tuning version where applicable; source/provenance; validator result; committed inputs and output.</x:v>
      </x:c>
      <x:c r="P91" s="110" t="str">
        <x:v>Keyboard and screen-reader operable; semantic status text; no hover, drag, motion, or color-only dependency; concise labels with expandable detail.</x:v>
      </x:c>
      <x:c r="Q91" s="110" t="str">
        <x:v>Party &amp; Relationships</x:v>
      </x:c>
      <x:c r="R91" s="110" t="str">
        <x:v>Chronicle &amp; Audit</x:v>
      </x:c>
      <x:c r="S91" s="110" t="str">
        <x:v>High</x:v>
      </x:c>
      <x:c r="T91" s="110" t="str">
        <x:v>P1</x:v>
      </x:c>
      <x:c r="U91" s="110" t="str">
        <x:v>Covered</x:v>
      </x:c>
      <x:c r="V91" s="110" t="str"/>
      <x:c r="W91" s="110" t="str"/>
      <x:c r="X91" s="111" t="n">
        <x:f>COUNTA(K91:N91)/4</x:f>
        <x:v>1</x:v>
      </x:c>
      <x:c r="Y91" s="111" t="n">
        <x:f>COUNTA(F91:R91)/13</x:f>
        <x:v>1</x:v>
      </x:c>
      <x:c r="Z91" s="110" t="str">
        <x:f>IF(OR(U91="Gap",U91="Decision Required",S91="Critical",X91&lt;1,Y91&lt;1),"REVIEW","READY")</x:f>
        <x:v>READY</x:v>
      </x:c>
    </x:row>
    <x:row r="92" ht="64" customHeight="1">
      <x:c r="A92" s="110" t="str">
        <x:v>PTY-005</x:v>
      </x:c>
      <x:c r="B92" s="110" t="str">
        <x:v>Party, Relationships &amp; Autonomy</x:v>
      </x:c>
      <x:c r="C92" s="110" t="str">
        <x:v>Loyalty pressure, departure, betrayal, defection, and return</x:v>
      </x:c>
      <x:c r="D92" s="110" t="str">
        <x:v>Mythic_Superhero_RPG_World_Constitution_v1.md — §27 Loyalty Pressure/Death/Departure</x:v>
      </x:c>
      <x:c r="E92" s="110" t="str">
        <x:v>When the entity or event becomes relevant to the active viewpoint.</x:v>
      </x:c>
      <x:c r="F92" s="110" t="str">
        <x:v>Observable trigger, communicated boundary, availability, membership change, actual departing action, and known consequences.</x:v>
      </x:c>
      <x:c r="G92" s="110" t="str">
        <x:v>Only observations, records, communications, and valid inferences in the active character's Knowledge Map.</x:v>
      </x:c>
      <x:c r="H92" s="110" t="str">
        <x:v>Private betrayal plan, alternative allegiance, escape route, and exact Loyalty check inputs.</x:v>
      </x:c>
      <x:c r="I92" s="110" t="str">
        <x:v>Repair, negotiate, release, pursue, retaliate, reconcile, replace role, or accept departure.</x:v>
      </x:c>
      <x:c r="J92" s="110" t="str">
        <x:v>Player betrayal/dismissal and any coercive prevention require explicit intent.</x:v>
      </x:c>
      <x:c r="K92" s="110" t="str">
        <x:v>Departure preserves person, inventory, history, and world position.</x:v>
      </x:c>
      <x:c r="L92" s="110" t="str">
        <x:v>Departure does not automatically become betrayal; betrayal requires actual motive, method, knowledge, and opportunity.</x:v>
      </x:c>
      <x:c r="M92" s="110" t="str">
        <x:v>Show honest queued/loading/pending state; preserve the player's draft and current world version; do not imply completion.</x:v>
      </x:c>
      <x:c r="N92" s="110" t="str">
        <x:v>Stop or revalidate before commitment; identify the accessible state that changed; preserve intent; refresh the interpretation without leaking hidden causes.</x:v>
      </x:c>
      <x:c r="O92" s="110" t="str">
        <x:v>Event/record ID; campaign timestamp; state version; ruleset/tuning version where applicable; source/provenance; validator result; committed inputs and output.</x:v>
      </x:c>
      <x:c r="P92" s="110" t="str">
        <x:v>Keyboard and screen-reader operable; semantic status text; no hover, drag, motion, or color-only dependency; concise labels with expandable detail.</x:v>
      </x:c>
      <x:c r="Q92" s="110" t="str">
        <x:v>Party &amp; Relationships</x:v>
      </x:c>
      <x:c r="R92" s="110" t="str">
        <x:v>Chronicle &amp; Audit</x:v>
      </x:c>
      <x:c r="S92" s="110" t="str">
        <x:v>Critical</x:v>
      </x:c>
      <x:c r="T92" s="110" t="str">
        <x:v>P0</x:v>
      </x:c>
      <x:c r="U92" s="110" t="str">
        <x:v>Covered</x:v>
      </x:c>
      <x:c r="V92" s="110" t="str"/>
      <x:c r="W92" s="110" t="str"/>
      <x:c r="X92" s="111" t="n">
        <x:f>COUNTA(K92:N92)/4</x:f>
        <x:v>1</x:v>
      </x:c>
      <x:c r="Y92" s="111" t="n">
        <x:f>COUNTA(F92:R92)/13</x:f>
        <x:v>1</x:v>
      </x:c>
      <x:c r="Z92" s="110" t="str">
        <x:f>IF(OR(U92="Gap",U92="Decision Required",S92="Critical",X92&lt;1,Y92&lt;1),"REVIEW","READY")</x:f>
        <x:v>REVIEW</x:v>
      </x:c>
    </x:row>
    <x:row r="93" ht="64" customHeight="1">
      <x:c r="A93" s="110" t="str">
        <x:v>PTY-006</x:v>
      </x:c>
      <x:c r="B93" s="110" t="str">
        <x:v>Party, Relationships &amp; Autonomy</x:v>
      </x:c>
      <x:c r="C93" s="110" t="str">
        <x:v>Romance, intimacy, consent, and family</x:v>
      </x:c>
      <x:c r="D93" s="110" t="str">
        <x:v>Mythic_Superhero_RPG_World_Constitution_v1.md — §27 Romance, Intimacy, and Family</x:v>
      </x:c>
      <x:c r="E93" s="110" t="str">
        <x:v>When the entity or event becomes relevant to the active viewpoint.</x:v>
      </x:c>
      <x:c r="F93" s="110" t="str">
        <x:v>Expressed interest, contemporaneous consent, boundaries, agreements, commitments, pace, and public/private status.</x:v>
      </x:c>
      <x:c r="G93" s="110" t="str">
        <x:v>Only observations, records, communications, and valid inferences in the active character's Knowledge Map.</x:v>
      </x:c>
      <x:c r="H93" s="110" t="str">
        <x:v>Private attraction, reproductive state, and undisclosed desires unless a valid effect reveals them.</x:v>
      </x:c>
      <x:c r="I93" s="110" t="str">
        <x:v>Express interest, ask, consent, decline, withdraw consent, negotiate agreement, end relationship, or do nothing.</x:v>
      </x:c>
      <x:c r="J93" s="110" t="str">
        <x:v>Intimacy and material relationship commitments require contemporaneous explicit consent.</x:v>
      </x:c>
      <x:c r="K93" s="110" t="str">
        <x:v>NPCs may initiate, reject, change feelings, set boundaries, or leave.</x:v>
      </x:c>
      <x:c r="L93" s="110" t="str">
        <x:v>No social roll compels desire, sex, marriage, pregnancy, exclusivity, or forgiveness.</x:v>
      </x:c>
      <x:c r="M93" s="110" t="str">
        <x:v>Show honest queued/loading/pending state; preserve the player's draft and current world version; do not imply completion.</x:v>
      </x:c>
      <x:c r="N93" s="110" t="str">
        <x:v>Stop or revalidate before commitment; identify the accessible state that changed; preserve intent; refresh the interpretation without leaking hidden causes.</x:v>
      </x:c>
      <x:c r="O93" s="110" t="str">
        <x:v>Event/record ID; campaign timestamp; state version; ruleset/tuning version where applicable; source/provenance; validator result; committed inputs and output.</x:v>
      </x:c>
      <x:c r="P93" s="110" t="str">
        <x:v>Keyboard and screen-reader operable; semantic status text; no hover, drag, motion, or color-only dependency; concise labels with expandable detail.</x:v>
      </x:c>
      <x:c r="Q93" s="110" t="str">
        <x:v>Party &amp; Relationships</x:v>
      </x:c>
      <x:c r="R93" s="110" t="str">
        <x:v>Settings &amp; Accessibility</x:v>
      </x:c>
      <x:c r="S93" s="110" t="str">
        <x:v>Critical</x:v>
      </x:c>
      <x:c r="T93" s="110" t="str">
        <x:v>P0</x:v>
      </x:c>
      <x:c r="U93" s="110" t="str">
        <x:v>Covered</x:v>
      </x:c>
      <x:c r="V93" s="110" t="str"/>
      <x:c r="W93" s="110" t="str"/>
      <x:c r="X93" s="111" t="n">
        <x:f>COUNTA(K93:N93)/4</x:f>
        <x:v>1</x:v>
      </x:c>
      <x:c r="Y93" s="111" t="n">
        <x:f>COUNTA(F93:R93)/13</x:f>
        <x:v>1</x:v>
      </x:c>
      <x:c r="Z93" s="110" t="str">
        <x:f>IF(OR(U93="Gap",U93="Decision Required",S93="Critical",X93&lt;1,Y93&lt;1),"REVIEW","READY")</x:f>
        <x:v>REVIEW</x:v>
      </x:c>
    </x:row>
    <x:row r="94" ht="64" customHeight="1">
      <x:c r="A94" s="110" t="str">
        <x:v>PTY-007</x:v>
      </x:c>
      <x:c r="B94" s="110" t="str">
        <x:v>Party, Relationships &amp; Autonomy</x:v>
      </x:c>
      <x:c r="C94" s="110" t="str">
        <x:v>Companion autonomy modes and player delegation</x:v>
      </x:c>
      <x:c r="D94" s="110" t="str">
        <x:v>Mythic_Superhero_RPG_World_Constitution_v1.md — §27 Companion Autonomy During Play</x:v>
      </x:c>
      <x:c r="E94" s="110" t="str">
        <x:v>When the entity or event becomes relevant to the active viewpoint.</x:v>
      </x:c>
      <x:c r="F94" s="110" t="str">
        <x:v>Current mode—Autonomous, Planned Doctrine, Tactical Delegation, or Explicit Control—plus scope, priorities, and revocation.</x:v>
      </x:c>
      <x:c r="G94" s="110" t="str">
        <x:v>Only observations, records, communications, and valid inferences in the active character's Knowledge Map.</x:v>
      </x:c>
      <x:c r="H94" s="110" t="str">
        <x:v>Private reasoning and future choices outside declared doctrine.</x:v>
      </x:c>
      <x:c r="I94" s="110" t="str">
        <x:v>Set/renegotiate doctrine, request delegation, select within delegated scope, revoke request, or let companion decide.</x:v>
      </x:c>
      <x:c r="J94" s="110" t="str">
        <x:v>Explicit Control exists only through a recorded mechanism; ordinary companions cannot be switched into it.</x:v>
      </x:c>
      <x:c r="K94" s="110" t="str">
        <x:v>Companion acts from actual knowledge, resources, Drives, and accepted authority.</x:v>
      </x:c>
      <x:c r="L94" s="110" t="str">
        <x:v>Delegation can be refused/revoked on new information or red line.</x:v>
      </x:c>
      <x:c r="M94" s="110" t="str">
        <x:v>Show honest queued/loading/pending state; preserve the player's draft and current world version; do not imply completion.</x:v>
      </x:c>
      <x:c r="N94" s="110" t="str">
        <x:v>Stop or revalidate before commitment; identify the accessible state that changed; preserve intent; refresh the interpretation without leaking hidden causes.</x:v>
      </x:c>
      <x:c r="O94" s="110" t="str">
        <x:v>Event/record ID; campaign timestamp; state version; ruleset/tuning version where applicable; source/provenance; validator result; committed inputs and output.</x:v>
      </x:c>
      <x:c r="P94" s="110" t="str">
        <x:v>Keyboard and screen-reader operable; semantic status text; no hover, drag, motion, or color-only dependency; concise labels with expandable detail.</x:v>
      </x:c>
      <x:c r="Q94" s="110" t="str">
        <x:v>Party &amp; Relationships</x:v>
      </x:c>
      <x:c r="R94" s="110" t="str">
        <x:v>Immediate Danger</x:v>
      </x:c>
      <x:c r="S94" s="110" t="str">
        <x:v>Critical</x:v>
      </x:c>
      <x:c r="T94" s="110" t="str">
        <x:v>P0</x:v>
      </x:c>
      <x:c r="U94" s="110" t="str">
        <x:v>Covered</x:v>
      </x:c>
      <x:c r="V94" s="110" t="str"/>
      <x:c r="W94" s="110" t="str"/>
      <x:c r="X94" s="111" t="n">
        <x:f>COUNTA(K94:N94)/4</x:f>
        <x:v>1</x:v>
      </x:c>
      <x:c r="Y94" s="111" t="n">
        <x:f>COUNTA(F94:R94)/13</x:f>
        <x:v>1</x:v>
      </x:c>
      <x:c r="Z94" s="110" t="str">
        <x:f>IF(OR(U94="Gap",U94="Decision Required",S94="Critical",X94&lt;1,Y94&lt;1),"REVIEW","READY")</x:f>
        <x:v>REVIEW</x:v>
      </x:c>
    </x:row>
    <x:row r="95" ht="64" customHeight="1">
      <x:c r="A95" s="110" t="str">
        <x:v>PTY-008</x:v>
      </x:c>
      <x:c r="B95" s="110" t="str">
        <x:v>Party, Relationships &amp; Autonomy</x:v>
      </x:c>
      <x:c r="C95" s="110" t="str">
        <x:v>Split parties and off-screen companion action</x:v>
      </x:c>
      <x:c r="D95" s="110" t="str">
        <x:v>Mythic_Superhero_RPG_World_Constitution_v1.md — §27 Split Parties and Off-Screen Action</x:v>
      </x:c>
      <x:c r="E95" s="110" t="str">
        <x:v>When the entity or event becomes relevant to the active viewpoint.</x:v>
      </x:c>
      <x:c r="F95" s="110" t="str">
        <x:v>Last known location/route, objective, agreed method, time budget, resources, communication, stop/retreat conditions, and received updates.</x:v>
      </x:c>
      <x:c r="G95" s="110" t="str">
        <x:v>Only observations, records, communications, and valid inferences in the active character's Knowledge Map.</x:v>
      </x:c>
      <x:c r="H95" s="110" t="str">
        <x:v>Uncommunicated private scenes, discoveries, and decisions.</x:v>
      </x:c>
      <x:c r="I95" s="110" t="str">
        <x:v>Set plan, contact, change authorized instructions, switch legitimate viewpoint, wait, investigate silence, or reunite.</x:v>
      </x:c>
      <x:c r="J95" s="110" t="str">
        <x:v>Player does not directly choose an autonomous off-screen outcome; only own instructions/agreements are committed.</x:v>
      </x:c>
      <x:c r="K95" s="110" t="str">
        <x:v>Off-screen actions use the same rules and enter canon before later reference.</x:v>
      </x:c>
      <x:c r="L95" s="110" t="str">
        <x:v>Companion never freezes or receives success because off-screen.</x:v>
      </x:c>
      <x:c r="M95" s="110" t="str">
        <x:v>Show honest queued/loading/pending state; preserve the player's draft and current world version; do not imply completion.</x:v>
      </x:c>
      <x:c r="N95" s="110" t="str">
        <x:v>Stop or revalidate before commitment; identify the accessible state that changed; preserve intent; refresh the interpretation without leaking hidden causes.</x:v>
      </x:c>
      <x:c r="O95" s="110" t="str">
        <x:v>Event/record ID; campaign timestamp; state version; ruleset/tuning version where applicable; source/provenance; validator result; committed inputs and output.</x:v>
      </x:c>
      <x:c r="P95" s="110" t="str">
        <x:v>Keyboard and screen-reader operable; semantic status text; no hover, drag, motion, or color-only dependency; concise labels with expandable detail.</x:v>
      </x:c>
      <x:c r="Q95" s="110" t="str">
        <x:v>Party &amp; Relationships</x:v>
      </x:c>
      <x:c r="R95" s="110" t="str">
        <x:v>Chronicle &amp; Audit</x:v>
      </x:c>
      <x:c r="S95" s="110" t="str">
        <x:v>Critical</x:v>
      </x:c>
      <x:c r="T95" s="110" t="str">
        <x:v>P1</x:v>
      </x:c>
      <x:c r="U95" s="110" t="str">
        <x:v>Gap</x:v>
      </x:c>
      <x:c r="V95" s="110" t="str">
        <x:v>GAP-005</x:v>
      </x:c>
      <x:c r="W95" s="110" t="str"/>
      <x:c r="X95" s="111" t="n">
        <x:f>COUNTA(K95:N95)/4</x:f>
        <x:v>1</x:v>
      </x:c>
      <x:c r="Y95" s="111" t="n">
        <x:f>COUNTA(F95:R95)/13</x:f>
        <x:v>1</x:v>
      </x:c>
      <x:c r="Z95" s="110" t="str">
        <x:f>IF(OR(U95="Gap",U95="Decision Required",S95="Critical",X95&lt;1,Y95&lt;1),"REVIEW","READY")</x:f>
        <x:v>REVIEW</x:v>
      </x:c>
    </x:row>
    <x:row r="96" ht="64" customHeight="1">
      <x:c r="A96" s="110" t="str">
        <x:v>PTY-009</x:v>
      </x:c>
      <x:c r="B96" s="110" t="str">
        <x:v>Party, Relationships &amp; Autonomy</x:v>
      </x:c>
      <x:c r="C96" s="110" t="str">
        <x:v>Team identity, Cohesion, Integration, Rank, and roster</x:v>
      </x:c>
      <x:c r="D96" s="110" t="str">
        <x:v>Mythic_Superhero_RPG_World_Constitution_v1.md — §27 Team Identity/Cohesion/Marks</x:v>
      </x:c>
      <x:c r="E96" s="110" t="str">
        <x:v>When the entity or event becomes relevant to the active viewpoint.</x:v>
      </x:c>
      <x:c r="F96" s="110" t="str">
        <x:v>Name/history, purpose, governance, roster, shared assets, obligations, qualitative Cohesion/Integration, Marks/Rank, and schisms.</x:v>
      </x:c>
      <x:c r="G96" s="110" t="str">
        <x:v>Only observations, records, communications, and valid inferences in the active character's Knowledge Map.</x:v>
      </x:c>
      <x:c r="H96" s="110" t="str">
        <x:v>Private member relationships and undisclosed faction ties.</x:v>
      </x:c>
      <x:c r="I96" s="110" t="str">
        <x:v>Found, name, govern, recruit, train, change symbol, split, dissolve, revive, or establish successor team.</x:v>
      </x:c>
      <x:c r="J96" s="110" t="str">
        <x:v>Governance, shared property, and identity changes require member authority/consent as applicable.</x:v>
      </x:c>
      <x:c r="K96" s="110" t="str">
        <x:v>Team history unlocks slots without raising personal Level.</x:v>
      </x:c>
      <x:c r="L96" s="110" t="str">
        <x:v>Replacement member does not inherit absent person's Integration, property, or relationship.</x:v>
      </x:c>
      <x:c r="M96" s="110" t="str">
        <x:v>Show honest queued/loading/pending state; preserve the player's draft and current world version; do not imply completion.</x:v>
      </x:c>
      <x:c r="N96" s="110" t="str">
        <x:v>Stop or revalidate before commitment; identify the accessible state that changed; preserve intent; refresh the interpretation without leaking hidden causes.</x:v>
      </x:c>
      <x:c r="O96" s="110" t="str">
        <x:v>Event/record ID; campaign timestamp; state version; ruleset/tuning version where applicable; source/provenance; validator result; committed inputs and output.</x:v>
      </x:c>
      <x:c r="P96" s="110" t="str">
        <x:v>Keyboard and screen-reader operable; semantic status text; no hover, drag, motion, or color-only dependency; concise labels with expandable detail.</x:v>
      </x:c>
      <x:c r="Q96" s="110" t="str">
        <x:v>Party &amp; Relationships</x:v>
      </x:c>
      <x:c r="R96" s="110" t="str">
        <x:v>Relics &amp; Mythic Identity</x:v>
      </x:c>
      <x:c r="S96" s="110" t="str">
        <x:v>High</x:v>
      </x:c>
      <x:c r="T96" s="110" t="str">
        <x:v>P1</x:v>
      </x:c>
      <x:c r="U96" s="110" t="str">
        <x:v>Covered</x:v>
      </x:c>
      <x:c r="V96" s="110" t="str"/>
      <x:c r="W96" s="110" t="str"/>
      <x:c r="X96" s="111" t="n">
        <x:f>COUNTA(K96:N96)/4</x:f>
        <x:v>1</x:v>
      </x:c>
      <x:c r="Y96" s="111" t="n">
        <x:f>COUNTA(F96:R96)/13</x:f>
        <x:v>1</x:v>
      </x:c>
      <x:c r="Z96" s="110" t="str">
        <x:f>IF(OR(U96="Gap",U96="Decision Required",S96="Critical",X96&lt;1,Y96&lt;1),"REVIEW","READY")</x:f>
        <x:v>READY</x:v>
      </x:c>
    </x:row>
    <x:row r="97" ht="64" customHeight="1">
      <x:c r="A97" s="110" t="str">
        <x:v>PTY-010</x:v>
      </x:c>
      <x:c r="B97" s="110" t="str">
        <x:v>Party, Relationships &amp; Autonomy</x:v>
      </x:c>
      <x:c r="C97" s="110" t="str">
        <x:v>Team Abilities and unlearned combinations</x:v>
      </x:c>
      <x:c r="D97" s="110" t="str">
        <x:v>Mythic_Superhero_RPG_World_Constitution_v1.md — §27 Team Abilities</x:v>
      </x:c>
      <x:c r="E97" s="110" t="str">
        <x:v>When the entity or event becomes relevant to the active viewpoint.</x:v>
      </x:c>
      <x:c r="F97" s="110" t="str">
        <x:v>Required willing members/roles, positions, communication, actions, resources, causally supplied effects, interruption rules, and visual choreography.</x:v>
      </x:c>
      <x:c r="G97" s="110" t="str">
        <x:v>Only observations, records, communications, and valid inferences in the active character's Knowledge Map.</x:v>
      </x:c>
      <x:c r="H97" s="110" t="str">
        <x:v>No hidden teammate resources or consent is assumed.</x:v>
      </x:c>
      <x:c r="I97" s="110" t="str">
        <x:v>Use learned ability, revise formation, substitute if rule allows, attempt an unlearned Stunt, or abort.</x:v>
      </x:c>
      <x:c r="J97" s="110" t="str">
        <x:v>Every participant's cost/consent and any destructive combination consequence are explicit.</x:v>
      </x:c>
      <x:c r="K97" s="110" t="str">
        <x:v>Ability resolves from actual contributors and team state.</x:v>
      </x:c>
      <x:c r="L97" s="110" t="str">
        <x:v>Missing/unwilling/disconnected member makes it unavailable unless a recorded substitution applies.</x:v>
      </x:c>
      <x:c r="M97" s="110" t="str">
        <x:v>Show honest queued/loading/pending state; preserve the player's draft and current world version; do not imply completion.</x:v>
      </x:c>
      <x:c r="N97" s="110" t="str">
        <x:v>Stop or revalidate before commitment; identify the accessible state that changed; preserve intent; refresh the interpretation without leaking hidden causes.</x:v>
      </x:c>
      <x:c r="O97" s="110" t="str">
        <x:v>Event/record ID; campaign timestamp; state version; ruleset/tuning version where applicable; source/provenance; validator result; committed inputs and output.</x:v>
      </x:c>
      <x:c r="P97" s="110" t="str">
        <x:v>Keyboard and screen-reader operable; semantic status text; no hover, drag, motion, or color-only dependency; concise labels with expandable detail.</x:v>
      </x:c>
      <x:c r="Q97" s="110" t="str">
        <x:v>Immediate Danger</x:v>
      </x:c>
      <x:c r="R97" s="110" t="str">
        <x:v>Party &amp; Relationships</x:v>
      </x:c>
      <x:c r="S97" s="110" t="str">
        <x:v>High</x:v>
      </x:c>
      <x:c r="T97" s="110" t="str">
        <x:v>P1</x:v>
      </x:c>
      <x:c r="U97" s="110" t="str">
        <x:v>Covered</x:v>
      </x:c>
      <x:c r="V97" s="110" t="str"/>
      <x:c r="W97" s="110" t="str"/>
      <x:c r="X97" s="111" t="n">
        <x:f>COUNTA(K97:N97)/4</x:f>
        <x:v>1</x:v>
      </x:c>
      <x:c r="Y97" s="111" t="n">
        <x:f>COUNTA(F97:R97)/13</x:f>
        <x:v>1</x:v>
      </x:c>
      <x:c r="Z97" s="110" t="str">
        <x:f>IF(OR(U97="Gap",U97="Decision Required",S97="Critical",X97&lt;1,Y97&lt;1),"REVIEW","READY")</x:f>
        <x:v>READY</x:v>
      </x:c>
    </x:row>
    <x:row r="98" ht="64" customHeight="1">
      <x:c r="A98" s="110" t="str">
        <x:v>WLD-001</x:v>
      </x:c>
      <x:c r="B98" s="110" t="str">
        <x:v>World, Factions &amp; Law</x:v>
      </x:c>
      <x:c r="C98" s="110" t="str">
        <x:v>Faction/division identity, knowledge, assets, goals, and priorities</x:v>
      </x:c>
      <x:c r="D98" s="110" t="str">
        <x:v>Mythic_Superhero_RPG_World_Constitution_v1.md — §28 Faction Record/Autonomous Priorities</x:v>
      </x:c>
      <x:c r="E98" s="110" t="str">
        <x:v>When the entity or event becomes relevant to the active viewpoint.</x:v>
      </x:c>
      <x:c r="F98" s="110" t="str">
        <x:v>Public identity, observed capabilities/assets, accessible relationships, known projects, statements, territory, and received information.</x:v>
      </x:c>
      <x:c r="G98" s="110" t="str">
        <x:v>Only observations, records, communications, and valid inferences in the active character's Knowledge Map.</x:v>
      </x:c>
      <x:c r="H98" s="110" t="str">
        <x:v>Private goals, compartmentalized knowledge, exact capabilities, secret assets, and priority calculation.</x:v>
      </x:c>
      <x:c r="I98" s="110" t="str">
        <x:v>Observe, contact, negotiate, join, infiltrate, deceive, attack, support, expose, leave, or build coalition.</x:v>
      </x:c>
      <x:c r="J98" s="110" t="str">
        <x:v>Joining, treaty, contract, and material commitment require explicit terms.</x:v>
      </x:c>
      <x:c r="K98" s="110" t="str">
        <x:v>Faction acts from its actual node knowledge and available assets.</x:v>
      </x:c>
      <x:c r="L98" s="110" t="str">
        <x:v>Faction cannot know hidden player stats or act as a hive mind without canon.</x:v>
      </x:c>
      <x:c r="M98" s="110" t="str">
        <x:v>Show honest queued/loading/pending state; preserve the player's draft and current world version; do not imply completion.</x:v>
      </x:c>
      <x:c r="N98" s="110" t="str">
        <x:v>Stop or revalidate before commitment; identify the accessible state that changed; preserve intent; refresh the interpretation without leaking hidden causes.</x:v>
      </x:c>
      <x:c r="O98" s="110" t="str">
        <x:v>Event/record ID; campaign timestamp; state version; ruleset/tuning version where applicable; source/provenance; validator result; committed inputs and output.</x:v>
      </x:c>
      <x:c r="P98" s="110" t="str">
        <x:v>Keyboard and screen-reader operable; semantic status text; no hover, drag, motion, or color-only dependency; concise labels with expandable detail.</x:v>
      </x:c>
      <x:c r="Q98" s="110" t="str">
        <x:v>Factions &amp; Fronts</x:v>
      </x:c>
      <x:c r="R98" s="110" t="str">
        <x:v>Law &amp; Reputation</x:v>
      </x:c>
      <x:c r="S98" s="110" t="str">
        <x:v>Critical</x:v>
      </x:c>
      <x:c r="T98" s="110" t="str">
        <x:v>P0</x:v>
      </x:c>
      <x:c r="U98" s="110" t="str">
        <x:v>Covered</x:v>
      </x:c>
      <x:c r="V98" s="110" t="str"/>
      <x:c r="W98" s="110" t="str"/>
      <x:c r="X98" s="111" t="n">
        <x:f>COUNTA(K98:N98)/4</x:f>
        <x:v>1</x:v>
      </x:c>
      <x:c r="Y98" s="111" t="n">
        <x:f>COUNTA(F98:R98)/13</x:f>
        <x:v>1</x:v>
      </x:c>
      <x:c r="Z98" s="110" t="str">
        <x:f>IF(OR(U98="Gap",U98="Decision Required",S98="Critical",X98&lt;1,Y98&lt;1),"REVIEW","READY")</x:f>
        <x:v>REVIEW</x:v>
      </x:c>
    </x:row>
    <x:row r="99" ht="64" customHeight="1">
      <x:c r="A99" s="110" t="str">
        <x:v>WLD-002</x:v>
      </x:c>
      <x:c r="B99" s="110" t="str">
        <x:v>World, Factions &amp; Law</x:v>
      </x:c>
      <x:c r="C99" s="110" t="str">
        <x:v>Faction actions, projects, assets, schedules, and logistics</x:v>
      </x:c>
      <x:c r="D99" s="110" t="str">
        <x:v>Mythic_Superhero_RPG_World_Constitution_v1.md — §28 Faction Actions/Resources</x:v>
      </x:c>
      <x:c r="E99" s="110" t="str">
        <x:v>When the entity or event becomes relevant to the active viewpoint.</x:v>
      </x:c>
      <x:c r="F99" s="110" t="str">
        <x:v>Only discovered or communicated project purpose, progress indicators, committed assets, consequences, and schedule facts.</x:v>
      </x:c>
      <x:c r="G99" s="110" t="str">
        <x:v>Only observations, records, communications, and valid inferences in the active character's Knowledge Map.</x:v>
      </x:c>
      <x:c r="H99" s="110" t="str">
        <x:v>Undiscovered project, exact progress, secret resources, and internal alternatives.</x:v>
      </x:c>
      <x:c r="I99" s="110" t="str">
        <x:v>Investigate, support, disrupt, steal assets, block routes, negotiate, expose, accelerate, or ignore.</x:v>
      </x:c>
      <x:c r="J99" s="110" t="str">
        <x:v>Player/faction commitments follow actual authority and resource terms.</x:v>
      </x:c>
      <x:c r="K99" s="110" t="str">
        <x:v>Projects consume time/resources and create only committed outputs.</x:v>
      </x:c>
      <x:c r="L99" s="110" t="str">
        <x:v>Summary ratings never generate missing people, money, vehicles, or Authority.</x:v>
      </x:c>
      <x:c r="M99" s="110" t="str">
        <x:v>Show honest queued/loading/pending state; preserve the player's draft and current world version; do not imply completion.</x:v>
      </x:c>
      <x:c r="N99" s="110" t="str">
        <x:v>Stop or revalidate before commitment; identify the accessible state that changed; preserve intent; refresh the interpretation without leaking hidden causes.</x:v>
      </x:c>
      <x:c r="O99" s="110" t="str">
        <x:v>Event/record ID; campaign timestamp; state version; ruleset/tuning version where applicable; source/provenance; validator result; committed inputs and output.</x:v>
      </x:c>
      <x:c r="P99" s="110" t="str">
        <x:v>Keyboard and screen-reader operable; semantic status text; no hover, drag, motion, or color-only dependency; concise labels with expandable detail.</x:v>
      </x:c>
      <x:c r="Q99" s="110" t="str">
        <x:v>Factions &amp; Fronts</x:v>
      </x:c>
      <x:c r="R99" s="110" t="str">
        <x:v>Chronicle &amp; Audit</x:v>
      </x:c>
      <x:c r="S99" s="110" t="str">
        <x:v>High</x:v>
      </x:c>
      <x:c r="T99" s="110" t="str">
        <x:v>P1</x:v>
      </x:c>
      <x:c r="U99" s="110" t="str">
        <x:v>Covered</x:v>
      </x:c>
      <x:c r="V99" s="110" t="str"/>
      <x:c r="W99" s="110" t="str"/>
      <x:c r="X99" s="111" t="n">
        <x:f>COUNTA(K99:N99)/4</x:f>
        <x:v>1</x:v>
      </x:c>
      <x:c r="Y99" s="111" t="n">
        <x:f>COUNTA(F99:R99)/13</x:f>
        <x:v>1</x:v>
      </x:c>
      <x:c r="Z99" s="110" t="str">
        <x:f>IF(OR(U99="Gap",U99="Decision Required",S99="Critical",X99&lt;1,Y99&lt;1),"REVIEW","READY")</x:f>
        <x:v>READY</x:v>
      </x:c>
    </x:row>
    <x:row r="100" ht="64" customHeight="1">
      <x:c r="A100" s="110" t="str">
        <x:v>WLD-003</x:v>
      </x:c>
      <x:c r="B100" s="110" t="str">
        <x:v>World, Factions &amp; Law</x:v>
      </x:c>
      <x:c r="C100" s="110" t="str">
        <x:v>Fronts, clocks, pressure, triggers, and transitions</x:v>
      </x:c>
      <x:c r="D100" s="110" t="str">
        <x:v>Mythic_Superhero_RPG_World_Constitution_v1.md — §28 Fronts and Clocks; §31 BREAKWATER Fronts</x:v>
      </x:c>
      <x:c r="E100" s="110" t="str">
        <x:v>When the entity or event becomes relevant to the active viewpoint.</x:v>
      </x:c>
      <x:c r="F100" s="110" t="str">
        <x:v>Situation, accessible indicators, known participants/triggers/countermeasures, public consequences, and evidence-backed urgency—not omniscient exact progress by default.</x:v>
      </x:c>
      <x:c r="G100" s="110" t="str">
        <x:v>Only observations, records, communications, and valid inferences in the active character's Knowledge Map.</x:v>
      </x:c>
      <x:c r="H100" s="110" t="str">
        <x:v>Exact private clock progress, secret branch effects, and unobserved triggers.</x:v>
      </x:c>
      <x:c r="I100" s="110" t="str">
        <x:v>Investigate, intervene, support, disrupt, ignore, leave region, or deliberately accelerate through valid action.</x:v>
      </x:c>
      <x:c r="J100" s="110" t="str">
        <x:v>Actions knowingly advancing a severe Front use normal consequence confirmation, not moral judgment.</x:v>
      </x:c>
      <x:c r="K100" s="110" t="str">
        <x:v>Clock changes only on recorded triggers and completes precommitted effects.</x:v>
      </x:c>
      <x:c r="L100" s="110" t="str">
        <x:v>No UI countdown advances independently of world events or relocates the Front to the player.</x:v>
      </x:c>
      <x:c r="M100" s="110" t="str">
        <x:v>Show honest queued/loading/pending state; preserve the player's draft and current world version; do not imply completion.</x:v>
      </x:c>
      <x:c r="N100" s="110" t="str">
        <x:v>Stop or revalidate before commitment; identify the accessible state that changed; preserve intent; refresh the interpretation without leaking hidden causes.</x:v>
      </x:c>
      <x:c r="O100" s="110" t="str">
        <x:v>Event/record ID; campaign timestamp; state version; ruleset/tuning version where applicable; source/provenance; validator result; committed inputs and output.</x:v>
      </x:c>
      <x:c r="P100" s="110" t="str">
        <x:v>Keyboard and screen-reader operable; semantic status text; no hover, drag, motion, or color-only dependency; concise labels with expandable detail.</x:v>
      </x:c>
      <x:c r="Q100" s="110" t="str">
        <x:v>Factions &amp; Fronts</x:v>
      </x:c>
      <x:c r="R100" s="110" t="str">
        <x:v>World Map &amp; Knowledge Map</x:v>
      </x:c>
      <x:c r="S100" s="110" t="str">
        <x:v>Critical</x:v>
      </x:c>
      <x:c r="T100" s="110" t="str">
        <x:v>P0</x:v>
      </x:c>
      <x:c r="U100" s="110" t="str">
        <x:v>Gap</x:v>
      </x:c>
      <x:c r="V100" s="110" t="str">
        <x:v>GAP-003</x:v>
      </x:c>
      <x:c r="W100" s="110" t="str"/>
      <x:c r="X100" s="111" t="n">
        <x:f>COUNTA(K100:N100)/4</x:f>
        <x:v>1</x:v>
      </x:c>
      <x:c r="Y100" s="111" t="n">
        <x:f>COUNTA(F100:R100)/13</x:f>
        <x:v>1</x:v>
      </x:c>
      <x:c r="Z100" s="110" t="str">
        <x:f>IF(OR(U100="Gap",U100="Decision Required",S100="Critical",X100&lt;1,Y100&lt;1),"REVIEW","READY")</x:f>
        <x:v>REVIEW</x:v>
      </x:c>
    </x:row>
    <x:row r="101" ht="64" customHeight="1">
      <x:c r="A101" s="110" t="str">
        <x:v>WLD-004</x:v>
      </x:c>
      <x:c r="B101" s="110" t="str">
        <x:v>World, Factions &amp; Law</x:v>
      </x:c>
      <x:c r="C101" s="110" t="str">
        <x:v>Information delivery, audience propagation, interception, and correction</x:v>
      </x:c>
      <x:c r="D101" s="110" t="str">
        <x:v>Mythic_Superhero_RPG_World_Constitution_v1.md — §28 Information Objects/Communication/Rumors</x:v>
      </x:c>
      <x:c r="E101" s="110" t="str">
        <x:v>When the entity or event becomes relevant to the active viewpoint.</x:v>
      </x:c>
      <x:c r="F101" s="110" t="str">
        <x:v>Accessible packet, channel, recipients, delivery status, copies, public reach indicators, credibility, and competing corrections.</x:v>
      </x:c>
      <x:c r="G101" s="110" t="str">
        <x:v>Only observations, records, communications, and valid inferences in the active character's Knowledge Map.</x:v>
      </x:c>
      <x:c r="H101" s="110" t="str">
        <x:v>Undisclosed interceptors, recipients, and canonical accuracy.</x:v>
      </x:c>
      <x:c r="I101" s="110" t="str">
        <x:v>Transmit, broadcast, target recipients, encrypt, repeat, correct, suppress, intercept when capable, or remain silent.</x:v>
      </x:c>
      <x:c r="J101" s="110" t="str">
        <x:v>Publication with known identity, legal, or Exposure effects requires confirmation.</x:v>
      </x:c>
      <x:c r="K101" s="110" t="str">
        <x:v>Information reaches actual eligible nodes and creates derivative packets.</x:v>
      </x:c>
      <x:c r="L101" s="110" t="str">
        <x:v>Suppression cannot make existing recipients unknow without memory alteration.</x:v>
      </x:c>
      <x:c r="M101" s="110" t="str">
        <x:v>Show honest queued/loading/pending state; preserve the player's draft and current world version; do not imply completion.</x:v>
      </x:c>
      <x:c r="N101" s="110" t="str">
        <x:v>Stop or revalidate before commitment; identify the accessible state that changed; preserve intent; refresh the interpretation without leaking hidden causes.</x:v>
      </x:c>
      <x:c r="O101" s="110" t="str">
        <x:v>Event/record ID; campaign timestamp; state version; ruleset/tuning version where applicable; source/provenance; validator result; committed inputs and output.</x:v>
      </x:c>
      <x:c r="P101" s="110" t="str">
        <x:v>Keyboard and screen-reader operable; semantic status text; no hover, drag, motion, or color-only dependency; concise labels with expandable detail.</x:v>
      </x:c>
      <x:c r="Q101" s="110" t="str">
        <x:v>Chronicle &amp; Audit</x:v>
      </x:c>
      <x:c r="R101" s="110" t="str">
        <x:v>Law &amp; Reputation</x:v>
      </x:c>
      <x:c r="S101" s="110" t="str">
        <x:v>High</x:v>
      </x:c>
      <x:c r="T101" s="110" t="str">
        <x:v>P1</x:v>
      </x:c>
      <x:c r="U101" s="110" t="str">
        <x:v>Covered</x:v>
      </x:c>
      <x:c r="V101" s="110" t="str"/>
      <x:c r="W101" s="110" t="str"/>
      <x:c r="X101" s="111" t="n">
        <x:f>COUNTA(K101:N101)/4</x:f>
        <x:v>1</x:v>
      </x:c>
      <x:c r="Y101" s="111" t="n">
        <x:f>COUNTA(F101:R101)/13</x:f>
        <x:v>1</x:v>
      </x:c>
      <x:c r="Z101" s="110" t="str">
        <x:f>IF(OR(U101="Gap",U101="Decision Required",S101="Critical",X101&lt;1,Y101&lt;1),"REVIEW","READY")</x:f>
        <x:v>READY</x:v>
      </x:c>
    </x:row>
    <x:row r="102" ht="64" customHeight="1">
      <x:c r="A102" s="110" t="str">
        <x:v>WLD-005</x:v>
      </x:c>
      <x:c r="B102" s="110" t="str">
        <x:v>World, Factions &amp; Law</x:v>
      </x:c>
      <x:c r="C102" s="110" t="str">
        <x:v>Evidence groups, Case Strength, propositions, and legal elements</x:v>
      </x:c>
      <x:c r="D102" s="110" t="str">
        <x:v>Mythic_Superhero_RPG_World_Constitution_v1.md — §28 Evidence and Identification</x:v>
      </x:c>
      <x:c r="E102" s="110" t="str">
        <x:v>When the entity or event becomes relevant to the active viewpoint.</x:v>
      </x:c>
      <x:c r="F102" s="110" t="str">
        <x:v>Accessible evidence, chain, ratings/assessment, proposition-specific support, contradictions, correlation groups, and jurisdictional admissibility.</x:v>
      </x:c>
      <x:c r="G102" s="110" t="str">
        <x:v>Only observations, records, communications, and valid inferences in the active character's Knowledge Map.</x:v>
      </x:c>
      <x:c r="H102" s="110" t="str">
        <x:v>Canonical integrity and observer errors remain separate; inaccessible evidence stays hidden.</x:v>
      </x:c>
      <x:c r="I102" s="110" t="str">
        <x:v>Collect, challenge, corroborate, contest chain, submit, suppress, fabricate through actual action, or investigate.</x:v>
      </x:c>
      <x:c r="J102" s="110" t="str">
        <x:v>Legal submission, destruction, alteration, and public accusation require explicit target/proposition.</x:v>
      </x:c>
      <x:c r="K102" s="110" t="str">
        <x:v>Case Strength is proposition-specific and does not create identity or intent proof automatically.</x:v>
      </x:c>
      <x:c r="L102" s="110" t="str">
        <x:v>High Heat or Infamy never substitutes for evidence.</x:v>
      </x:c>
      <x:c r="M102" s="110" t="str">
        <x:v>Show honest queued/loading/pending state; preserve the player's draft and current world version; do not imply completion.</x:v>
      </x:c>
      <x:c r="N102" s="110" t="str">
        <x:v>Stop or revalidate before commitment; identify the accessible state that changed; preserve intent; refresh the interpretation without leaking hidden causes.</x:v>
      </x:c>
      <x:c r="O102" s="110" t="str">
        <x:v>Event/record ID; campaign timestamp; state version; ruleset/tuning version where applicable; source/provenance; validator result; committed inputs and output.</x:v>
      </x:c>
      <x:c r="P102" s="110" t="str">
        <x:v>Keyboard and screen-reader operable; semantic status text; no hover, drag, motion, or color-only dependency; concise labels with expandable detail.</x:v>
      </x:c>
      <x:c r="Q102" s="110" t="str">
        <x:v>Case Graph &amp; Evidence</x:v>
      </x:c>
      <x:c r="R102" s="110" t="str">
        <x:v>Law &amp; Reputation</x:v>
      </x:c>
      <x:c r="S102" s="110" t="str">
        <x:v>Critical</x:v>
      </x:c>
      <x:c r="T102" s="110" t="str">
        <x:v>P0</x:v>
      </x:c>
      <x:c r="U102" s="110" t="str">
        <x:v>Covered</x:v>
      </x:c>
      <x:c r="V102" s="110" t="str"/>
      <x:c r="W102" s="110" t="str"/>
      <x:c r="X102" s="111" t="n">
        <x:f>COUNTA(K102:N102)/4</x:f>
        <x:v>1</x:v>
      </x:c>
      <x:c r="Y102" s="111" t="n">
        <x:f>COUNTA(F102:R102)/13</x:f>
        <x:v>1</x:v>
      </x:c>
      <x:c r="Z102" s="110" t="str">
        <x:f>IF(OR(U102="Gap",U102="Decision Required",S102="Critical",X102&lt;1,Y102&lt;1),"REVIEW","READY")</x:f>
        <x:v>REVIEW</x:v>
      </x:c>
    </x:row>
    <x:row r="103" ht="64" customHeight="1">
      <x:c r="A103" s="110" t="str">
        <x:v>WLD-006</x:v>
      </x:c>
      <x:c r="B103" s="110" t="str">
        <x:v>World, Factions &amp; Law</x:v>
      </x:c>
      <x:c r="C103" s="110" t="str">
        <x:v>Heat, Exposure, Threat Assessment, Notoriety, and Infamy</x:v>
      </x:c>
      <x:c r="D103" s="110" t="str">
        <x:v>Mythic_Superhero_RPG_World_Constitution_v1.md — §28 Separate Response Tracks/Heat/Exposure</x:v>
      </x:c>
      <x:c r="E103" s="110" t="str">
        <x:v>When the entity or event becomes relevant to the active viewpoint.</x:v>
      </x:c>
      <x:c r="F103" s="110" t="str">
        <x:v>Audience/institution-specific qualitative state, accessible causes, known responses, and changes attributed to propagated events.</x:v>
      </x:c>
      <x:c r="G103" s="110" t="str">
        <x:v>Only observations, records, communications, and valid inferences in the active character's Knowledge Map.</x:v>
      </x:c>
      <x:c r="H103" s="110" t="str">
        <x:v>Private threat model, unseen evidence, and exact values unless a valid interface/record exposes them.</x:v>
      </x:c>
      <x:c r="I103" s="110" t="str">
        <x:v>Reduce evidence, lie low, correct attribution, confront, bargain, exploit notoriety, change identity, or accept attention.</x:v>
      </x:c>
      <x:c r="J103" s="110" t="str">
        <x:v>Actions deliberately revealing identity or increasing Exposure show known scope.</x:v>
      </x:c>
      <x:c r="K103" s="110" t="str">
        <x:v>Tracks remain separate and respond only to received information.</x:v>
      </x:c>
      <x:c r="L103" s="110" t="str">
        <x:v>Heat never proves guilt; Exposure never creates a secret identity link without evidence.</x:v>
      </x:c>
      <x:c r="M103" s="110" t="str">
        <x:v>Show honest queued/loading/pending state; preserve the player's draft and current world version; do not imply completion.</x:v>
      </x:c>
      <x:c r="N103" s="110" t="str">
        <x:v>Stop or revalidate before commitment; identify the accessible state that changed; preserve intent; refresh the interpretation without leaking hidden causes.</x:v>
      </x:c>
      <x:c r="O103" s="110" t="str">
        <x:v>Event/record ID; campaign timestamp; state version; ruleset/tuning version where applicable; source/provenance; validator result; committed inputs and output.</x:v>
      </x:c>
      <x:c r="P103" s="110" t="str">
        <x:v>Keyboard and screen-reader operable; semantic status text; no hover, drag, motion, or color-only dependency; concise labels with expandable detail.</x:v>
      </x:c>
      <x:c r="Q103" s="110" t="str">
        <x:v>Law &amp; Reputation</x:v>
      </x:c>
      <x:c r="R103" s="110" t="str">
        <x:v>Factions &amp; Fronts</x:v>
      </x:c>
      <x:c r="S103" s="110" t="str">
        <x:v>Critical</x:v>
      </x:c>
      <x:c r="T103" s="110" t="str">
        <x:v>P0</x:v>
      </x:c>
      <x:c r="U103" s="110" t="str">
        <x:v>Covered</x:v>
      </x:c>
      <x:c r="V103" s="110" t="str"/>
      <x:c r="W103" s="110" t="str"/>
      <x:c r="X103" s="111" t="n">
        <x:f>COUNTA(K103:N103)/4</x:f>
        <x:v>1</x:v>
      </x:c>
      <x:c r="Y103" s="111" t="n">
        <x:f>COUNTA(F103:R103)/13</x:f>
        <x:v>1</x:v>
      </x:c>
      <x:c r="Z103" s="110" t="str">
        <x:f>IF(OR(U103="Gap",U103="Decision Required",S103="Critical",X103&lt;1,Y103&lt;1),"REVIEW","READY")</x:f>
        <x:v>REVIEW</x:v>
      </x:c>
    </x:row>
    <x:row r="104" ht="64" customHeight="1">
      <x:c r="A104" s="110" t="str">
        <x:v>WLD-007</x:v>
      </x:c>
      <x:c r="B104" s="110" t="str">
        <x:v>World, Factions &amp; Law</x:v>
      </x:c>
      <x:c r="C104" s="110" t="str">
        <x:v>Audience-specific reputation, titles, and social labels</x:v>
      </x:c>
      <x:c r="D104" s="110" t="str">
        <x:v>Mythic_Superhero_RPG_World_Constitution_v1.md — §28 Reputation and Public Identity</x:v>
      </x:c>
      <x:c r="E104" s="110" t="str">
        <x:v>When the entity or event becomes relevant to the active viewpoint.</x:v>
      </x:c>
      <x:c r="F104" s="110" t="str">
        <x:v>Audience, attributed identity/deed, Notoriety/Esteem/Fear/Credibility/Infamy as qualitative or authorized detail, and supporting packets.</x:v>
      </x:c>
      <x:c r="G104" s="110" t="str">
        <x:v>Only observations, records, communications, and valid inferences in the active character's Knowledge Map.</x:v>
      </x:c>
      <x:c r="H104" s="110" t="str">
        <x:v>Unaware audiences and private interpretations remain hidden.</x:v>
      </x:c>
      <x:c r="I104" s="110" t="str">
        <x:v>Claim/deny deed, build identity, publish, disguise, leverage reputation, repair credibility, intimidate, or ignore.</x:v>
      </x:c>
      <x:c r="J104" s="110" t="str">
        <x:v>Public identity reveal and propaganda publication are explicit.</x:v>
      </x:c>
      <x:c r="K104" s="110" t="str">
        <x:v>Same deed may create different reputations across audiences.</x:v>
      </x:c>
      <x:c r="L104" s="110" t="str">
        <x:v>Hero/villain labels never become mechanical alignment or universal reputation.</x:v>
      </x:c>
      <x:c r="M104" s="110" t="str">
        <x:v>Show honest queued/loading/pending state; preserve the player's draft and current world version; do not imply completion.</x:v>
      </x:c>
      <x:c r="N104" s="110" t="str">
        <x:v>Stop or revalidate before commitment; identify the accessible state that changed; preserve intent; refresh the interpretation without leaking hidden causes.</x:v>
      </x:c>
      <x:c r="O104" s="110" t="str">
        <x:v>Event/record ID; campaign timestamp; state version; ruleset/tuning version where applicable; source/provenance; validator result; committed inputs and output.</x:v>
      </x:c>
      <x:c r="P104" s="110" t="str">
        <x:v>Keyboard and screen-reader operable; semantic status text; no hover, drag, motion, or color-only dependency; concise labels with expandable detail.</x:v>
      </x:c>
      <x:c r="Q104" s="110" t="str">
        <x:v>Law &amp; Reputation</x:v>
      </x:c>
      <x:c r="R104" s="110" t="str">
        <x:v>Character</x:v>
      </x:c>
      <x:c r="S104" s="110" t="str">
        <x:v>High</x:v>
      </x:c>
      <x:c r="T104" s="110" t="str">
        <x:v>P1</x:v>
      </x:c>
      <x:c r="U104" s="110" t="str">
        <x:v>Covered</x:v>
      </x:c>
      <x:c r="V104" s="110" t="str"/>
      <x:c r="W104" s="110" t="str"/>
      <x:c r="X104" s="111" t="n">
        <x:f>COUNTA(K104:N104)/4</x:f>
        <x:v>1</x:v>
      </x:c>
      <x:c r="Y104" s="111" t="n">
        <x:f>COUNTA(F104:R104)/13</x:f>
        <x:v>1</x:v>
      </x:c>
      <x:c r="Z104" s="110" t="str">
        <x:f>IF(OR(U104="Gap",U104="Decision Required",S104="Critical",X104&lt;1,Y104&lt;1),"REVIEW","READY")</x:f>
        <x:v>READY</x:v>
      </x:c>
    </x:row>
    <x:row r="105" ht="64" customHeight="1">
      <x:c r="A105" s="110" t="str">
        <x:v>WLD-008</x:v>
      </x:c>
      <x:c r="B105" s="110" t="str">
        <x:v>World, Factions &amp; Law</x:v>
      </x:c>
      <x:c r="C105" s="110" t="str">
        <x:v>Law, jurisdiction, offense elements, exceptions, and conflicting authorities</x:v>
      </x:c>
      <x:c r="D105" s="110" t="str">
        <x:v>Mythic_Superhero_RPG_World_Constitution_v1.md — §28 Laws and Legal Codes</x:v>
      </x:c>
      <x:c r="E105" s="110" t="str">
        <x:v>When the entity or event becomes relevant to the active viewpoint.</x:v>
      </x:c>
      <x:c r="F105" s="110" t="str">
        <x:v>Known law, authority, territory/person scope, elements, intent standard, exceptions, license, procedure, thresholds, penalties, and conflicts.</x:v>
      </x:c>
      <x:c r="G105" s="110" t="str">
        <x:v>Only observations, records, communications, and valid inferences in the active character's Knowledge Map.</x:v>
      </x:c>
      <x:c r="H105" s="110" t="str">
        <x:v>Secret law is hidden until accessible; private corrupt plan remains private.</x:v>
      </x:c>
      <x:c r="I105" s="110" t="str">
        <x:v>Comply, challenge jurisdiction, seek license, invoke exception, advocate, bribe, flee, resist, change law, or act anyway.</x:v>
      </x:c>
      <x:c r="J105" s="110" t="str">
        <x:v>High-consequence legal waiver, plea, oath, or jurisdiction acceptance is explicit.</x:v>
      </x:c>
      <x:c r="K105" s="110" t="str">
        <x:v>Incident is evaluated independently in every relevant jurisdiction.</x:v>
      </x:c>
      <x:c r="L105" s="110" t="str">
        <x:v>No universal crime flag or moral equivalence.</x:v>
      </x:c>
      <x:c r="M105" s="110" t="str">
        <x:v>Show honest queued/loading/pending state; preserve the player's draft and current world version; do not imply completion.</x:v>
      </x:c>
      <x:c r="N105" s="110" t="str">
        <x:v>Stop or revalidate before commitment; identify the accessible state that changed; preserve intent; refresh the interpretation without leaking hidden causes.</x:v>
      </x:c>
      <x:c r="O105" s="110" t="str">
        <x:v>Event/record ID; campaign timestamp; state version; ruleset/tuning version where applicable; source/provenance; validator result; committed inputs and output.</x:v>
      </x:c>
      <x:c r="P105" s="110" t="str">
        <x:v>Keyboard and screen-reader operable; semantic status text; no hover, drag, motion, or color-only dependency; concise labels with expandable detail.</x:v>
      </x:c>
      <x:c r="Q105" s="110" t="str">
        <x:v>Law &amp; Reputation</x:v>
      </x:c>
      <x:c r="R105" s="110" t="str">
        <x:v>Context Lens</x:v>
      </x:c>
      <x:c r="S105" s="110" t="str">
        <x:v>Critical</x:v>
      </x:c>
      <x:c r="T105" s="110" t="str">
        <x:v>P0</x:v>
      </x:c>
      <x:c r="U105" s="110" t="str">
        <x:v>Covered</x:v>
      </x:c>
      <x:c r="V105" s="110" t="str"/>
      <x:c r="W105" s="110" t="str"/>
      <x:c r="X105" s="111" t="n">
        <x:f>COUNTA(K105:N105)/4</x:f>
        <x:v>1</x:v>
      </x:c>
      <x:c r="Y105" s="111" t="n">
        <x:f>COUNTA(F105:R105)/13</x:f>
        <x:v>1</x:v>
      </x:c>
      <x:c r="Z105" s="110" t="str">
        <x:f>IF(OR(U105="Gap",U105="Decision Required",S105="Critical",X105&lt;1,Y105&lt;1),"REVIEW","READY")</x:f>
        <x:v>REVIEW</x:v>
      </x:c>
    </x:row>
    <x:row r="106" ht="64" customHeight="1">
      <x:c r="A106" s="110" t="str">
        <x:v>WLD-009</x:v>
      </x:c>
      <x:c r="B106" s="110" t="str">
        <x:v>World, Factions &amp; Law</x:v>
      </x:c>
      <x:c r="C106" s="110" t="str">
        <x:v>Investigation, warrant, enforcement, adjudication, and appeal</x:v>
      </x:c>
      <x:c r="D106" s="110" t="str">
        <x:v>Mythic_Superhero_RPG_World_Constitution_v1.md — §28 Legal Process</x:v>
      </x:c>
      <x:c r="E106" s="110" t="str">
        <x:v>When the entity or event becomes relevant to the active viewpoint.</x:v>
      </x:c>
      <x:c r="F106" s="110" t="str">
        <x:v>Known incident/case, authority, warrant/order scope, mobilization, procedural status, evidence threshold, hearing, decision, sanction, and appeal path.</x:v>
      </x:c>
      <x:c r="G106" s="110" t="str">
        <x:v>Only observations, records, communications, and valid inferences in the active character's Knowledge Map.</x:v>
      </x:c>
      <x:c r="H106" s="110" t="str">
        <x:v>Undisclosed investigation tactics, private judge/agent motives, and secret evidence.</x:v>
      </x:c>
      <x:c r="I106" s="110" t="str">
        <x:v>Comply, contest, advocate, present evidence, bargain, bribe, flee, resist, expose corruption, appeal, or attack.</x:v>
      </x:c>
      <x:c r="J106" s="110" t="str">
        <x:v>Plea, testimony, surrender, consent search, and rights waiver require explicit scope.</x:v>
      </x:c>
      <x:c r="K106" s="110" t="str">
        <x:v>Authority changes procedure; it does not teleport enforcement or prove guilt.</x:v>
      </x:c>
      <x:c r="L106" s="110" t="str">
        <x:v>Wrongful outcomes require actual actors, evidence, and process—not narrator fiat.</x:v>
      </x:c>
      <x:c r="M106" s="110" t="str">
        <x:v>Show honest queued/loading/pending state; preserve the player's draft and current world version; do not imply completion.</x:v>
      </x:c>
      <x:c r="N106" s="110" t="str">
        <x:v>Stop or revalidate before commitment; identify the accessible state that changed; preserve intent; refresh the interpretation without leaking hidden causes.</x:v>
      </x:c>
      <x:c r="O106" s="110" t="str">
        <x:v>Event/record ID; campaign timestamp; state version; ruleset/tuning version where applicable; source/provenance; validator result; committed inputs and output.</x:v>
      </x:c>
      <x:c r="P106" s="110" t="str">
        <x:v>Keyboard and screen-reader operable; semantic status text; no hover, drag, motion, or color-only dependency; concise labels with expandable detail.</x:v>
      </x:c>
      <x:c r="Q106" s="110" t="str">
        <x:v>Law &amp; Reputation</x:v>
      </x:c>
      <x:c r="R106" s="110" t="str">
        <x:v>Living Stage</x:v>
      </x:c>
      <x:c r="S106" s="110" t="str">
        <x:v>Critical</x:v>
      </x:c>
      <x:c r="T106" s="110" t="str">
        <x:v>P0</x:v>
      </x:c>
      <x:c r="U106" s="110" t="str">
        <x:v>Covered</x:v>
      </x:c>
      <x:c r="V106" s="110" t="str"/>
      <x:c r="W106" s="110" t="str"/>
      <x:c r="X106" s="111" t="n">
        <x:f>COUNTA(K106:N106)/4</x:f>
        <x:v>1</x:v>
      </x:c>
      <x:c r="Y106" s="111" t="n">
        <x:f>COUNTA(F106:R106)/13</x:f>
        <x:v>1</x:v>
      </x:c>
      <x:c r="Z106" s="110" t="str">
        <x:f>IF(OR(U106="Gap",U106="Decision Required",S106="Critical",X106&lt;1,Y106&lt;1),"REVIEW","READY")</x:f>
        <x:v>REVIEW</x:v>
      </x:c>
    </x:row>
    <x:row r="107" ht="64" customHeight="1">
      <x:c r="A107" s="110" t="str">
        <x:v>WLD-010</x:v>
      </x:c>
      <x:c r="B107" s="110" t="str">
        <x:v>World, Factions &amp; Law</x:v>
      </x:c>
      <x:c r="C107" s="110" t="str">
        <x:v>Confinement, prison Site, sentence, seizure, escape, and world continuation</x:v>
      </x:c>
      <x:c r="D107" s="110" t="str">
        <x:v>Mythic_Superhero_RPG_World_Constitution_v1.md — §28 Confinement and Player Freedom</x:v>
      </x:c>
      <x:c r="E107" s="110" t="str">
        <x:v>When the entity or event becomes relevant to the active viewpoint.</x:v>
      </x:c>
      <x:c r="F107" s="110" t="str">
        <x:v>Site, guards/schedule as perceived, custody, inventory controls, sentence/time, communication, legal options, factions, and escape possibilities.</x:v>
      </x:c>
      <x:c r="G107" s="110" t="str">
        <x:v>Only observations, records, communications, and valid inferences in the active character's Knowledge Map.</x:v>
      </x:c>
      <x:c r="H107" s="110" t="str">
        <x:v>Secret guard plans, undiscovered routes, and external events not communicated.</x:v>
      </x:c>
      <x:c r="I107" s="110" t="str">
        <x:v>Comply, appeal, bargain, communicate, recruit, investigate, escape, resist, transform institution, or serve time.</x:v>
      </x:c>
      <x:c r="J107" s="110" t="str">
        <x:v>Escape/violence/sentence-compression follows normal known-risk and time confirmation.</x:v>
      </x:c>
      <x:c r="K107" s="110" t="str">
        <x:v>World and companions continue while confinement persists.</x:v>
      </x:c>
      <x:c r="L107" s="110" t="str">
        <x:v>Confinement never becomes a forced cutscene disabling legal actions.</x:v>
      </x:c>
      <x:c r="M107" s="110" t="str">
        <x:v>Show honest queued/loading/pending state; preserve the player's draft and current world version; do not imply completion.</x:v>
      </x:c>
      <x:c r="N107" s="110" t="str">
        <x:v>Stop or revalidate before commitment; identify the accessible state that changed; preserve intent; refresh the interpretation without leaking hidden causes.</x:v>
      </x:c>
      <x:c r="O107" s="110" t="str">
        <x:v>Event/record ID; campaign timestamp; state version; ruleset/tuning version where applicable; source/provenance; validator result; committed inputs and output.</x:v>
      </x:c>
      <x:c r="P107" s="110" t="str">
        <x:v>Keyboard and screen-reader operable; semantic status text; no hover, drag, motion, or color-only dependency; concise labels with expandable detail.</x:v>
      </x:c>
      <x:c r="Q107" s="110" t="str">
        <x:v>Death &amp; Continuation</x:v>
      </x:c>
      <x:c r="R107" s="110" t="str">
        <x:v>Law &amp; Reputation</x:v>
      </x:c>
      <x:c r="S107" s="110" t="str">
        <x:v>Critical</x:v>
      </x:c>
      <x:c r="T107" s="110" t="str">
        <x:v>P0</x:v>
      </x:c>
      <x:c r="U107" s="110" t="str">
        <x:v>Covered</x:v>
      </x:c>
      <x:c r="V107" s="110" t="str"/>
      <x:c r="W107" s="110" t="str"/>
      <x:c r="X107" s="111" t="n">
        <x:f>COUNTA(K107:N107)/4</x:f>
        <x:v>1</x:v>
      </x:c>
      <x:c r="Y107" s="111" t="n">
        <x:f>COUNTA(F107:R107)/13</x:f>
        <x:v>1</x:v>
      </x:c>
      <x:c r="Z107" s="110" t="str">
        <x:f>IF(OR(U107="Gap",U107="Decision Required",S107="Critical",X107&lt;1,Y107&lt;1),"REVIEW","READY")</x:f>
        <x:v>REVIEW</x:v>
      </x:c>
    </x:row>
    <x:row r="108" ht="64" customHeight="1">
      <x:c r="A108" s="110" t="str">
        <x:v>WLD-011</x:v>
      </x:c>
      <x:c r="B108" s="110" t="str">
        <x:v>World, Factions &amp; Law</x:v>
      </x:c>
      <x:c r="C108" s="110" t="str">
        <x:v>Evidence-driven bounded adaptation</x:v>
      </x:c>
      <x:c r="D108" s="110" t="str">
        <x:v>Mythic_Superhero_RPG_World_Constitution_v1.md — §10 Bounded Adaptation; §28 Adaptation</x:v>
      </x:c>
      <x:c r="E108" s="110" t="str">
        <x:v>When the entity or event becomes relevant to the active viewpoint.</x:v>
      </x:c>
      <x:c r="F108" s="110" t="str">
        <x:v>Observable countermeasures, changed tactics, public propaganda, procurement, specialists, patrols, and accessible reasons.</x:v>
      </x:c>
      <x:c r="G108" s="110" t="str">
        <x:v>Only observations, records, communications, and valid inferences in the active character's Knowledge Map.</x:v>
      </x:c>
      <x:c r="H108" s="110" t="str">
        <x:v>Exact adaptation score, private threat model, and uncommunicated knowledge.</x:v>
      </x:c>
      <x:c r="I108" s="110" t="str">
        <x:v>Change tactics, deceive attribution, destroy evidence, lie low, exploit counters, relocate, negotiate, or escalate.</x:v>
      </x:c>
      <x:c r="J108" s="110" t="str">
        <x:v>No special confirmation beyond the player's actual action.</x:v>
      </x:c>
      <x:c r="K108" s="110" t="str">
        <x:v>Factions adapt only to attributed learned events and available resources.</x:v>
      </x:c>
      <x:c r="L108" s="110" t="str">
        <x:v>Ordinary enemies/civilians never gain arbitrary Levels; duplicate reports do not duplicate adaptation.</x:v>
      </x:c>
      <x:c r="M108" s="110" t="str">
        <x:v>Show honest queued/loading/pending state; preserve the player's draft and current world version; do not imply completion.</x:v>
      </x:c>
      <x:c r="N108" s="110" t="str">
        <x:v>Stop or revalidate before commitment; identify the accessible state that changed; preserve intent; refresh the interpretation without leaking hidden causes.</x:v>
      </x:c>
      <x:c r="O108" s="110" t="str">
        <x:v>Event/record ID; campaign timestamp; state version; ruleset/tuning version where applicable; source/provenance; validator result; committed inputs and output.</x:v>
      </x:c>
      <x:c r="P108" s="110" t="str">
        <x:v>Keyboard and screen-reader operable; semantic status text; no hover, drag, motion, or color-only dependency; concise labels with expandable detail.</x:v>
      </x:c>
      <x:c r="Q108" s="110" t="str">
        <x:v>Factions &amp; Fronts</x:v>
      </x:c>
      <x:c r="R108" s="110" t="str">
        <x:v>Law &amp; Reputation</x:v>
      </x:c>
      <x:c r="S108" s="110" t="str">
        <x:v>Critical</x:v>
      </x:c>
      <x:c r="T108" s="110" t="str">
        <x:v>P0</x:v>
      </x:c>
      <x:c r="U108" s="110" t="str">
        <x:v>Covered</x:v>
      </x:c>
      <x:c r="V108" s="110" t="str"/>
      <x:c r="W108" s="110" t="str"/>
      <x:c r="X108" s="111" t="n">
        <x:f>COUNTA(K108:N108)/4</x:f>
        <x:v>1</x:v>
      </x:c>
      <x:c r="Y108" s="111" t="n">
        <x:f>COUNTA(F108:R108)/13</x:f>
        <x:v>1</x:v>
      </x:c>
      <x:c r="Z108" s="110" t="str">
        <x:f>IF(OR(U108="Gap",U108="Decision Required",S108="Critical",X108&lt;1,Y108&lt;1),"REVIEW","READY")</x:f>
        <x:v>REVIEW</x:v>
      </x:c>
    </x:row>
    <x:row r="109" ht="64" customHeight="1">
      <x:c r="A109" s="110" t="str">
        <x:v>AGT-001</x:v>
      </x:c>
      <x:c r="B109" s="110" t="str">
        <x:v>Agents, RAG &amp; Validation</x:v>
      </x:c>
      <x:c r="C109" s="110" t="str">
        <x:v>Agent Contract and Authority Envelope</x:v>
      </x:c>
      <x:c r="D109" s="110" t="str">
        <x:v>Mythic_Superhero_RPG_World_Constitution_v1.md — §29 Agent Contract/Authority Envelope</x:v>
      </x:c>
      <x:c r="E109" s="110" t="str">
        <x:v>When the entity or event becomes relevant to the active viewpoint.</x:v>
      </x:c>
      <x:c r="F109" s="110" t="str">
        <x:v>Represented entity, role, observable authority/role boundaries, delegated permissions, and resulting action/dialogue.</x:v>
      </x:c>
      <x:c r="G109" s="110" t="str">
        <x:v>Only observations, records, communications, and valid inferences in the active character's Knowledge Map.</x:v>
      </x:c>
      <x:c r="H109" s="110" t="str">
        <x:v>Prompt, private memory, inaccessible tools, private decision basis, and other agents' context.</x:v>
      </x:c>
      <x:c r="I109" s="110" t="str">
        <x:v>Address, request, negotiate authority, grant/revoke owned delegation, challenge action, or inspect permitted provenance.</x:v>
      </x:c>
      <x:c r="J109" s="110" t="str">
        <x:v>No agent may spend player resources, select protagonist intent/dialogue, or accept identity-changing commitments.</x:v>
      </x:c>
      <x:c r="K109" s="110" t="str">
        <x:v>Each autonomous proposal stays within represented entity authority.</x:v>
      </x:c>
      <x:c r="L109" s="110" t="str">
        <x:v>Unauthorized proposal is rejected before canon and returns actor-safe feedback.</x:v>
      </x:c>
      <x:c r="M109" s="110" t="str">
        <x:v>Show honest queued/loading/pending state; preserve the player's draft and current world version; do not imply completion.</x:v>
      </x:c>
      <x:c r="N109" s="110" t="str">
        <x:v>Stop or revalidate before commitment; identify the accessible state that changed; preserve intent; refresh the interpretation without leaking hidden causes.</x:v>
      </x:c>
      <x:c r="O109" s="110" t="str">
        <x:v>Event/record ID; campaign timestamp; state version; ruleset/tuning version where applicable; source/provenance; validator result; committed inputs and output.</x:v>
      </x:c>
      <x:c r="P109" s="110" t="str">
        <x:v>Keyboard and screen-reader operable; semantic status text; no hover, drag, motion, or color-only dependency; concise labels with expandable detail.</x:v>
      </x:c>
      <x:c r="Q109" s="110" t="str">
        <x:v>Context Lens</x:v>
      </x:c>
      <x:c r="R109" s="110" t="str">
        <x:v>Chronicle &amp; Audit</x:v>
      </x:c>
      <x:c r="S109" s="110" t="str">
        <x:v>Critical</x:v>
      </x:c>
      <x:c r="T109" s="110" t="str">
        <x:v>P0</x:v>
      </x:c>
      <x:c r="U109" s="110" t="str">
        <x:v>Covered</x:v>
      </x:c>
      <x:c r="V109" s="110" t="str"/>
      <x:c r="W109" s="110" t="str"/>
      <x:c r="X109" s="111" t="n">
        <x:f>COUNTA(K109:N109)/4</x:f>
        <x:v>1</x:v>
      </x:c>
      <x:c r="Y109" s="111" t="n">
        <x:f>COUNTA(F109:R109)/13</x:f>
        <x:v>1</x:v>
      </x:c>
      <x:c r="Z109" s="110" t="str">
        <x:f>IF(OR(U109="Gap",U109="Decision Required",S109="Critical",X109&lt;1,Y109&lt;1),"REVIEW","READY")</x:f>
        <x:v>REVIEW</x:v>
      </x:c>
    </x:row>
    <x:row r="110" ht="64" customHeight="1">
      <x:c r="A110" s="110" t="str">
        <x:v>AGT-002</x:v>
      </x:c>
      <x:c r="B110" s="110" t="str">
        <x:v>Agents, RAG &amp; Validation</x:v>
      </x:c>
      <x:c r="C110" s="110" t="str">
        <x:v>Agent lifecycle and pending decision state</x:v>
      </x:c>
      <x:c r="D110" s="110" t="str">
        <x:v>Mythic_Superhero_RPG_World_Constitution_v1.md — §29 Agent Lifecycle/Mandatory Triggers</x:v>
      </x:c>
      <x:c r="E110" s="110" t="str">
        <x:v>When the entity or event becomes relevant to the active viewpoint.</x:v>
      </x:c>
      <x:c r="F110" s="110" t="str">
        <x:v>Honest state such as queued, deciding, validating, resolving, replanning, awaiting input, blocked, or unavailable—with no fake completion.</x:v>
      </x:c>
      <x:c r="G110" s="110" t="str">
        <x:v>Only observations, records, communications, and valid inferences in the active character's Knowledge Map.</x:v>
      </x:c>
      <x:c r="H110" s="110" t="str">
        <x:v>Private reasoning, unaccepted proposals, and hidden activation causes.</x:v>
      </x:c>
      <x:c r="I110" s="110" t="str">
        <x:v>Wait, continue independent legal actions when causally possible, cancel own request, provide clarification, or inspect accessible status.</x:v>
      </x:c>
      <x:c r="J110" s="110" t="str">
        <x:v>No confirmation merely for latency; player input appears only when an actual decision is due.</x:v>
      </x:c>
      <x:c r="K110" s="110" t="str">
        <x:v>Mandatory activation resolves before dependent world time advances.</x:v>
      </x:c>
      <x:c r="L110" s="110" t="str">
        <x:v>Blocked/unavailable state does not fabricate dialogue or personality.</x:v>
      </x:c>
      <x:c r="M110" s="110" t="str">
        <x:v>Show honest queued/loading/pending state; preserve the player's draft and current world version; do not imply completion.</x:v>
      </x:c>
      <x:c r="N110" s="110" t="str">
        <x:v>Stop or revalidate before commitment; identify the accessible state that changed; preserve intent; refresh the interpretation without leaking hidden causes.</x:v>
      </x:c>
      <x:c r="O110" s="110" t="str">
        <x:v>Event/record ID; campaign timestamp; state version; ruleset/tuning version where applicable; source/provenance; validator result; committed inputs and output.</x:v>
      </x:c>
      <x:c r="P110" s="110" t="str">
        <x:v>Keyboard and screen-reader operable; semantic status text; no hover, drag, motion, or color-only dependency; concise labels with expandable detail.</x:v>
      </x:c>
      <x:c r="Q110" s="110" t="str">
        <x:v>Living Stage</x:v>
      </x:c>
      <x:c r="R110" s="110" t="str">
        <x:v>World Strip</x:v>
      </x:c>
      <x:c r="S110" s="110" t="str">
        <x:v>High</x:v>
      </x:c>
      <x:c r="T110" s="110" t="str">
        <x:v>P0</x:v>
      </x:c>
      <x:c r="U110" s="110" t="str">
        <x:v>Covered</x:v>
      </x:c>
      <x:c r="V110" s="110" t="str"/>
      <x:c r="W110" s="110" t="str"/>
      <x:c r="X110" s="111" t="n">
        <x:f>COUNTA(K110:N110)/4</x:f>
        <x:v>1</x:v>
      </x:c>
      <x:c r="Y110" s="111" t="n">
        <x:f>COUNTA(F110:R110)/13</x:f>
        <x:v>1</x:v>
      </x:c>
      <x:c r="Z110" s="110" t="str">
        <x:f>IF(OR(U110="Gap",U110="Decision Required",S110="Critical",X110&lt;1,Y110&lt;1),"REVIEW","READY")</x:f>
        <x:v>READY</x:v>
      </x:c>
    </x:row>
    <x:row r="111" ht="64" customHeight="1">
      <x:c r="A111" s="110" t="str">
        <x:v>AGT-003</x:v>
      </x:c>
      <x:c r="B111" s="110" t="str">
        <x:v>Agents, RAG &amp; Validation</x:v>
      </x:c>
      <x:c r="C111" s="110" t="str">
        <x:v>Activation budgets, latency, scheduling, and fallback</x:v>
      </x:c>
      <x:c r="D111" s="110" t="str">
        <x:v>Mythic_Superhero_RPG_World_Constitution_v1.md — §29 Activation Priority/Budgets</x:v>
      </x:c>
      <x:c r="E111" s="110" t="str">
        <x:v>When the entity or event becomes relevant to the active viewpoint.</x:v>
      </x:c>
      <x:c r="F111" s="110" t="str">
        <x:v>Only user-relevant waiting/processing status and whether simulation is paused at a dependent timestamp.</x:v>
      </x:c>
      <x:c r="G111" s="110" t="str">
        <x:v>Only observations, records, communications, and valid inferences in the active character's Knowledge Map.</x:v>
      </x:c>
      <x:c r="H111" s="110" t="str">
        <x:v>Priority score inputs, cost accounting, private queued actors, and compute infrastructure.</x:v>
      </x:c>
      <x:c r="I111" s="110" t="str">
        <x:v>Continue unrelated activity if legal, wait, cancel own interaction, or use an established fallback when offered.</x:v>
      </x:c>
      <x:c r="J111" s="110" t="str">
        <x:v>Fallback affecting the protagonist requires prior player-defined doctrine or current input.</x:v>
      </x:c>
      <x:c r="K111" s="110" t="str">
        <x:v>Compute changes waiting time and descriptive depth—not opportunity or outcome.</x:v>
      </x:c>
      <x:c r="L111" s="110" t="str">
        <x:v>Budget exhaustion cannot discard mandatory work or backfill fabricated action.</x:v>
      </x:c>
      <x:c r="M111" s="110" t="str">
        <x:v>Show honest queued/loading/pending state; preserve the player's draft and current world version; do not imply completion.</x:v>
      </x:c>
      <x:c r="N111" s="110" t="str">
        <x:v>Stop or revalidate before commitment; identify the accessible state that changed; preserve intent; refresh the interpretation without leaking hidden causes.</x:v>
      </x:c>
      <x:c r="O111" s="110" t="str">
        <x:v>Event/record ID; campaign timestamp; state version; ruleset/tuning version where applicable; source/provenance; validator result; committed inputs and output.</x:v>
      </x:c>
      <x:c r="P111" s="110" t="str">
        <x:v>Keyboard and screen-reader operable; semantic status text; no hover, drag, motion, or color-only dependency; concise labels with expandable detail.</x:v>
      </x:c>
      <x:c r="Q111" s="110" t="str">
        <x:v>World Strip</x:v>
      </x:c>
      <x:c r="R111" s="110" t="str">
        <x:v>Support &amp; Recovery</x:v>
      </x:c>
      <x:c r="S111" s="110" t="str">
        <x:v>High</x:v>
      </x:c>
      <x:c r="T111" s="110" t="str">
        <x:v>P1</x:v>
      </x:c>
      <x:c r="U111" s="110" t="str">
        <x:v>Gap</x:v>
      </x:c>
      <x:c r="V111" s="110" t="str">
        <x:v>GAP-007</x:v>
      </x:c>
      <x:c r="W111" s="110" t="str"/>
      <x:c r="X111" s="111" t="n">
        <x:f>COUNTA(K111:N111)/4</x:f>
        <x:v>1</x:v>
      </x:c>
      <x:c r="Y111" s="111" t="n">
        <x:f>COUNTA(F111:R111)/13</x:f>
        <x:v>1</x:v>
      </x:c>
      <x:c r="Z111" s="110" t="str">
        <x:f>IF(OR(U111="Gap",U111="Decision Required",S111="Critical",X111&lt;1,Y111&lt;1),"REVIEW","READY")</x:f>
        <x:v>REVIEW</x:v>
      </x:c>
    </x:row>
    <x:row r="112" ht="64" customHeight="1">
      <x:c r="A112" s="110" t="str">
        <x:v>AGT-004</x:v>
      </x:c>
      <x:c r="B112" s="110" t="str">
        <x:v>Agents, RAG &amp; Validation</x:v>
      </x:c>
      <x:c r="C112" s="110" t="str">
        <x:v>Proposal, validation pipeline, dice, reducer, and event commit</x:v>
      </x:c>
      <x:c r="D112" s="110" t="str">
        <x:v>Mythic_Superhero_RPG_World_Constitution_v1.md — §29 Agent Proposal/Validation Pipeline</x:v>
      </x:c>
      <x:c r="E112" s="110" t="str">
        <x:v>When the entity or event becomes relevant to the active viewpoint.</x:v>
      </x:c>
      <x:c r="F112" s="110" t="str">
        <x:v>Player-facing interpretation, permitted validator result, roll/procedure, committed event, and accessible rejection reason.</x:v>
      </x:c>
      <x:c r="G112" s="110" t="str">
        <x:v>Only observations, records, communications, and valid inferences in the active character's Knowledge Map.</x:v>
      </x:c>
      <x:c r="H112" s="110" t="str">
        <x:v>Invalid private proposal alternatives, hidden record IDs, and inaccessible validation evidence.</x:v>
      </x:c>
      <x:c r="I112" s="110" t="str">
        <x:v>Review own proposed action, revise before commit, inspect permitted audit, or continue after result.</x:v>
      </x:c>
      <x:c r="J112" s="110" t="str">
        <x:v>Player-controlled proposal must be confirmed at the material boundary; autonomous entity follows its own authority.</x:v>
      </x:c>
      <x:c r="K112" s="110" t="str">
        <x:v>Only validated proposal becomes event and state.</x:v>
      </x:c>
      <x:c r="L112" s="110" t="str">
        <x:v>Rejected proposal has no effect; first valid autonomous proposal is accepted rather than sampled for drama.</x:v>
      </x:c>
      <x:c r="M112" s="110" t="str">
        <x:v>Show honest queued/loading/pending state; preserve the player's draft and current world version; do not imply completion.</x:v>
      </x:c>
      <x:c r="N112" s="110" t="str">
        <x:v>Stop or revalidate before commitment; identify the accessible state that changed; preserve intent; refresh the interpretation without leaking hidden causes.</x:v>
      </x:c>
      <x:c r="O112" s="110" t="str">
        <x:v>Event/record ID; campaign timestamp; state version; ruleset/tuning version where applicable; source/provenance; validator result; committed inputs and output.</x:v>
      </x:c>
      <x:c r="P112" s="110" t="str">
        <x:v>Keyboard and screen-reader operable; semantic status text; no hover, drag, motion, or color-only dependency; concise labels with expandable detail.</x:v>
      </x:c>
      <x:c r="Q112" s="110" t="str">
        <x:v>Chronicle &amp; Audit</x:v>
      </x:c>
      <x:c r="R112" s="110" t="str">
        <x:v>Intent Dock</x:v>
      </x:c>
      <x:c r="S112" s="110" t="str">
        <x:v>Critical</x:v>
      </x:c>
      <x:c r="T112" s="110" t="str">
        <x:v>P0</x:v>
      </x:c>
      <x:c r="U112" s="110" t="str">
        <x:v>Gap</x:v>
      </x:c>
      <x:c r="V112" s="110" t="str">
        <x:v>GAP-001</x:v>
      </x:c>
      <x:c r="W112" s="110" t="str"/>
      <x:c r="X112" s="111" t="n">
        <x:f>COUNTA(K112:N112)/4</x:f>
        <x:v>1</x:v>
      </x:c>
      <x:c r="Y112" s="111" t="n">
        <x:f>COUNTA(F112:R112)/13</x:f>
        <x:v>1</x:v>
      </x:c>
      <x:c r="Z112" s="110" t="str">
        <x:f>IF(OR(U112="Gap",U112="Decision Required",S112="Critical",X112&lt;1,Y112&lt;1),"REVIEW","READY")</x:f>
        <x:v>REVIEW</x:v>
      </x:c>
    </x:row>
    <x:row r="113" ht="64" customHeight="1">
      <x:c r="A113" s="110" t="str">
        <x:v>AGT-005</x:v>
      </x:c>
      <x:c r="B113" s="110" t="str">
        <x:v>Agents, RAG &amp; Validation</x:v>
      </x:c>
      <x:c r="C113" s="110" t="str">
        <x:v>RAG retrieval boundary, memory provenance, and false belief</x:v>
      </x:c>
      <x:c r="D113" s="110" t="str">
        <x:v>Mythic_Superhero_RPG_World_Constitution_v1.md — §29 Memory/Retrieval Boundary/Ranking</x:v>
      </x:c>
      <x:c r="E113" s="110" t="str">
        <x:v>When the entity or event becomes relevant to the active viewpoint.</x:v>
      </x:c>
      <x:c r="F113" s="110" t="str">
        <x:v>Only resulting viewpoint-safe recall, uncertainty, accessible source provenance, and contradiction where permitted.</x:v>
      </x:c>
      <x:c r="G113" s="110" t="str">
        <x:v>Only observations, records, communications, and valid inferences in the active character's Knowledge Map.</x:v>
      </x:c>
      <x:c r="H113" s="110" t="str">
        <x:v>Forbidden records, result counts, embeddings, metadata gaps, other memories, and canonical truth links.</x:v>
      </x:c>
      <x:c r="I113" s="110" t="str">
        <x:v>Ask, recall, consult record, compare contradiction, deliberately review, or accept uncertainty.</x:v>
      </x:c>
      <x:c r="J113" s="110" t="str">
        <x:v>No routine confirmation; memory-altering effects follow their explicit mechanics.</x:v>
      </x:c>
      <x:c r="K113" s="110" t="str">
        <x:v>Retrieval filters before similarity and records selected accessible sources for audit.</x:v>
      </x:c>
      <x:c r="L113" s="110" t="str">
        <x:v>Missing context is not character forgetting; no result means unknown.</x:v>
      </x:c>
      <x:c r="M113" s="110" t="str">
        <x:v>Show honest queued/loading/pending state; preserve the player's draft and current world version; do not imply completion.</x:v>
      </x:c>
      <x:c r="N113" s="110" t="str">
        <x:v>Stop or revalidate before commitment; identify the accessible state that changed; preserve intent; refresh the interpretation without leaking hidden causes.</x:v>
      </x:c>
      <x:c r="O113" s="110" t="str">
        <x:v>Event/record ID; campaign timestamp; state version; ruleset/tuning version where applicable; source/provenance; validator result; committed inputs and output.</x:v>
      </x:c>
      <x:c r="P113" s="110" t="str">
        <x:v>Keyboard and screen-reader operable; semantic status text; no hover, drag, motion, or color-only dependency; concise labels with expandable detail.</x:v>
      </x:c>
      <x:c r="Q113" s="110" t="str">
        <x:v>Context Lens</x:v>
      </x:c>
      <x:c r="R113" s="110" t="str">
        <x:v>Chronicle &amp; Audit</x:v>
      </x:c>
      <x:c r="S113" s="110" t="str">
        <x:v>Critical</x:v>
      </x:c>
      <x:c r="T113" s="110" t="str">
        <x:v>P0</x:v>
      </x:c>
      <x:c r="U113" s="110" t="str">
        <x:v>Covered</x:v>
      </x:c>
      <x:c r="V113" s="110" t="str"/>
      <x:c r="W113" s="110" t="str"/>
      <x:c r="X113" s="111" t="n">
        <x:f>COUNTA(K113:N113)/4</x:f>
        <x:v>1</x:v>
      </x:c>
      <x:c r="Y113" s="111" t="n">
        <x:f>COUNTA(F113:R113)/13</x:f>
        <x:v>1</x:v>
      </x:c>
      <x:c r="Z113" s="110" t="str">
        <x:f>IF(OR(U113="Gap",U113="Decision Required",S113="Critical",X113&lt;1,Y113&lt;1),"REVIEW","READY")</x:f>
        <x:v>REVIEW</x:v>
      </x:c>
    </x:row>
    <x:row r="114" ht="64" customHeight="1">
      <x:c r="A114" s="110" t="str">
        <x:v>AGT-006</x:v>
      </x:c>
      <x:c r="B114" s="110" t="str">
        <x:v>Agents, RAG &amp; Validation</x:v>
      </x:c>
      <x:c r="C114" s="110" t="str">
        <x:v>Actor-safe rejection, replanning, and fallback</x:v>
      </x:c>
      <x:c r="D114" s="110" t="str">
        <x:v>Mythic_Superhero_RPG_World_Constitution_v1.md — §29 Replanning and Fallback</x:v>
      </x:c>
      <x:c r="E114" s="110" t="str">
        <x:v>When the entity or event becomes relevant to the active viewpoint.</x:v>
      </x:c>
      <x:c r="F114" s="110" t="str">
        <x:v>A rejection reason phrased only with information the represented actor/player may know; attempt status and fallback when relevant.</x:v>
      </x:c>
      <x:c r="G114" s="110" t="str">
        <x:v>Only observations, records, communications, and valid inferences in the active character's Knowledge Map.</x:v>
      </x:c>
      <x:c r="H114" s="110" t="str">
        <x:v>Secret target location, hidden door, inaccessible immunity, or other cause not legally knowable.</x:v>
      </x:c>
      <x:c r="I114" s="110" t="str">
        <x:v>Revise own intent, provide clarification, wait, or observe autonomous fallback result.</x:v>
      </x:c>
      <x:c r="J114" s="110" t="str">
        <x:v>Player chooses own new intent; AI cannot select it during replanning.</x:v>
      </x:c>
      <x:c r="K114" s="110" t="str">
        <x:v>First valid proposal is accepted within three attempts.</x:v>
      </x:c>
      <x:c r="L114" s="110" t="str">
        <x:v>After attempts, use predeclared fallback or become Blocked—never invent success.</x:v>
      </x:c>
      <x:c r="M114" s="110" t="str">
        <x:v>Show honest queued/loading/pending state; preserve the player's draft and current world version; do not imply completion.</x:v>
      </x:c>
      <x:c r="N114" s="110" t="str">
        <x:v>Stop or revalidate before commitment; identify the accessible state that changed; preserve intent; refresh the interpretation without leaking hidden causes.</x:v>
      </x:c>
      <x:c r="O114" s="110" t="str">
        <x:v>Event/record ID; campaign timestamp; state version; ruleset/tuning version where applicable; source/provenance; validator result; committed inputs and output.</x:v>
      </x:c>
      <x:c r="P114" s="110" t="str">
        <x:v>Keyboard and screen-reader operable; semantic status text; no hover, drag, motion, or color-only dependency; concise labels with expandable detail.</x:v>
      </x:c>
      <x:c r="Q114" s="110" t="str">
        <x:v>Intent Dock</x:v>
      </x:c>
      <x:c r="R114" s="110" t="str">
        <x:v>Living Stage</x:v>
      </x:c>
      <x:c r="S114" s="110" t="str">
        <x:v>Critical</x:v>
      </x:c>
      <x:c r="T114" s="110" t="str">
        <x:v>P0</x:v>
      </x:c>
      <x:c r="U114" s="110" t="str">
        <x:v>Gap</x:v>
      </x:c>
      <x:c r="V114" s="110" t="str">
        <x:v>GAP-001</x:v>
      </x:c>
      <x:c r="W114" s="110" t="str"/>
      <x:c r="X114" s="111" t="n">
        <x:f>COUNTA(K114:N114)/4</x:f>
        <x:v>1</x:v>
      </x:c>
      <x:c r="Y114" s="111" t="n">
        <x:f>COUNTA(F114:R114)/13</x:f>
        <x:v>1</x:v>
      </x:c>
      <x:c r="Z114" s="110" t="str">
        <x:f>IF(OR(U114="Gap",U114="Decision Required",S114="Critical",X114&lt;1,Y114&lt;1),"REVIEW","READY")</x:f>
        <x:v>REVIEW</x:v>
      </x:c>
    </x:row>
    <x:row r="115" ht="64" customHeight="1">
      <x:c r="A115" s="110" t="str">
        <x:v>AGT-007</x:v>
      </x:c>
      <x:c r="B115" s="110" t="str">
        <x:v>Agents, RAG &amp; Validation</x:v>
      </x:c>
      <x:c r="C115" s="110" t="str">
        <x:v>Model/provider failure and replacement</x:v>
      </x:c>
      <x:c r="D115" s="110" t="str">
        <x:v>Mythic_Superhero_RPG_World_Constitution_v1.md — §29 Failure and Model Replacement</x:v>
      </x:c>
      <x:c r="E115" s="110" t="str">
        <x:v>Provider outage, timeout, model upgrade, embedding replacement, or transport retry.</x:v>
      </x:c>
      <x:c r="F115" s="110" t="str">
        <x:v>Unavailable/retrying/paused status, affected interaction, retained timestamp/draft, and safe continuation options.</x:v>
      </x:c>
      <x:c r="G115" s="110" t="str">
        <x:v>Only observations, records, communications, and valid inferences in the active character's Knowledge Map.</x:v>
      </x:c>
      <x:c r="H115" s="110" t="str">
        <x:v>Infrastructure details that do not help the player and any private queued context.</x:v>
      </x:c>
      <x:c r="I115" s="110" t="str">
        <x:v>Retry idempotently, wait, continue deterministic/unrelated action, save/close, or use an established fallback.</x:v>
      </x:c>
      <x:c r="J115" s="110" t="str">
        <x:v>Never ask the player to accept fabricated dialogue or a personality reset.</x:v>
      </x:c>
      <x:c r="K115" s="110" t="str">
        <x:v>Contracts, memories, knowledge, voice, and accepted events persist across model replacement.</x:v>
      </x:c>
      <x:c r="L115" s="110" t="str">
        <x:v>Direct interaction may pause rather than invent response; transport retry reuses activation ID.</x:v>
      </x:c>
      <x:c r="M115" s="110" t="str">
        <x:v>Show honest queued/loading/pending state; preserve the player's draft and current world version; do not imply completion.</x:v>
      </x:c>
      <x:c r="N115" s="110" t="str">
        <x:v>Stop or revalidate before commitment; identify the accessible state that changed; preserve intent; refresh the interpretation without leaking hidden causes.</x:v>
      </x:c>
      <x:c r="O115" s="110" t="str">
        <x:v>Event/record ID; campaign timestamp; state version; ruleset/tuning version where applicable; source/provenance; validator result; committed inputs and output.</x:v>
      </x:c>
      <x:c r="P115" s="110" t="str">
        <x:v>Keyboard and screen-reader operable; semantic status text; no hover, drag, motion, or color-only dependency; concise labels with expandable detail.</x:v>
      </x:c>
      <x:c r="Q115" s="110" t="str">
        <x:v>Support &amp; Recovery</x:v>
      </x:c>
      <x:c r="R115" s="110" t="str">
        <x:v>World Strip</x:v>
      </x:c>
      <x:c r="S115" s="110" t="str">
        <x:v>Critical</x:v>
      </x:c>
      <x:c r="T115" s="110" t="str">
        <x:v>P0</x:v>
      </x:c>
      <x:c r="U115" s="110" t="str">
        <x:v>Covered</x:v>
      </x:c>
      <x:c r="V115" s="110" t="str"/>
      <x:c r="W115" s="110" t="str"/>
      <x:c r="X115" s="111" t="n">
        <x:f>COUNTA(K115:N115)/4</x:f>
        <x:v>1</x:v>
      </x:c>
      <x:c r="Y115" s="111" t="n">
        <x:f>COUNTA(F115:R115)/13</x:f>
        <x:v>1</x:v>
      </x:c>
      <x:c r="Z115" s="110" t="str">
        <x:f>IF(OR(U115="Gap",U115="Decision Required",S115="Critical",X115&lt;1,Y115&lt;1),"REVIEW","READY")</x:f>
        <x:v>REVIEW</x:v>
      </x:c>
    </x:row>
    <x:row r="116" ht="64" customHeight="1">
      <x:c r="A116" s="110" t="str">
        <x:v>AGT-008</x:v>
      </x:c>
      <x:c r="B116" s="110" t="str">
        <x:v>Agents, RAG &amp; Validation</x:v>
      </x:c>
      <x:c r="C116" s="110" t="str">
        <x:v>Narration, incidental detail, and state-bearing claim provenance</x:v>
      </x:c>
      <x:c r="D116" s="110" t="str">
        <x:v>Mythic_Superhero_RPG_World_Constitution_v1.md — §29 Narration and Incidental Canon</x:v>
      </x:c>
      <x:c r="E116" s="110" t="str">
        <x:v>When the entity or event becomes relevant to the active viewpoint.</x:v>
      </x:c>
      <x:c r="F116" s="110" t="str">
        <x:v>Viewpoint-valid sensory narrative, persistent concrete details, and uncertainty when appropriate.</x:v>
      </x:c>
      <x:c r="G116" s="110" t="str">
        <x:v>Only observations, records, communications, and valid inferences in the active character's Knowledge Map.</x:v>
      </x:c>
      <x:c r="H116" s="110" t="str">
        <x:v>No narrator access to hidden truth beyond presentation task; uncommitted consequential detail remains absent.</x:v>
      </x:c>
      <x:c r="I116" s="110" t="str">
        <x:v>Inspect, interact, question, search, or ignore presented details.</x:v>
      </x:c>
      <x:c r="J116" s="110" t="str">
        <x:v>No confirmation for ordinary compatible Detail Commit; consequential advantage uses its actual generation/validation rules.</x:v>
      </x:c>
      <x:c r="K116" s="110" t="str">
        <x:v>State-bearing statements cite canon/perception or pass Detail Commit before display.</x:v>
      </x:c>
      <x:c r="L116" s="110" t="str">
        <x:v>Metaphor does not create objects; presentation cannot invent escape, treasure, witness, or vulnerability.</x:v>
      </x:c>
      <x:c r="M116" s="110" t="str">
        <x:v>Show honest queued/loading/pending state; preserve the player's draft and current world version; do not imply completion.</x:v>
      </x:c>
      <x:c r="N116" s="110" t="str">
        <x:v>Stop or revalidate before commitment; identify the accessible state that changed; preserve intent; refresh the interpretation without leaking hidden causes.</x:v>
      </x:c>
      <x:c r="O116" s="110" t="str">
        <x:v>Event/record ID; campaign timestamp; state version; ruleset/tuning version where applicable; source/provenance; validator result; committed inputs and output.</x:v>
      </x:c>
      <x:c r="P116" s="110" t="str">
        <x:v>Keyboard and screen-reader operable; semantic status text; no hover, drag, motion, or color-only dependency; concise labels with expandable detail.</x:v>
      </x:c>
      <x:c r="Q116" s="110" t="str">
        <x:v>Living Stage</x:v>
      </x:c>
      <x:c r="R116" s="110" t="str">
        <x:v>Chronicle &amp; Audit</x:v>
      </x:c>
      <x:c r="S116" s="110" t="str">
        <x:v>Critical</x:v>
      </x:c>
      <x:c r="T116" s="110" t="str">
        <x:v>P0</x:v>
      </x:c>
      <x:c r="U116" s="110" t="str">
        <x:v>Covered</x:v>
      </x:c>
      <x:c r="V116" s="110" t="str"/>
      <x:c r="W116" s="110" t="str"/>
      <x:c r="X116" s="111" t="n">
        <x:f>COUNTA(K116:N116)/4</x:f>
        <x:v>1</x:v>
      </x:c>
      <x:c r="Y116" s="111" t="n">
        <x:f>COUNTA(F116:R116)/13</x:f>
        <x:v>1</x:v>
      </x:c>
      <x:c r="Z116" s="110" t="str">
        <x:f>IF(OR(U116="Gap",U116="Decision Required",S116="Critical",X116&lt;1,Y116&lt;1),"REVIEW","READY")</x:f>
        <x:v>REVIEW</x:v>
      </x:c>
    </x:row>
    <x:row r="117" ht="64" customHeight="1">
      <x:c r="A117" s="110" t="str">
        <x:v>CMC-001</x:v>
      </x:c>
      <x:c r="B117" s="110" t="str">
        <x:v>Comic Capture &amp; Production</x:v>
      </x:c>
      <x:c r="C117" s="110" t="str">
        <x:v>Lightweight gameplay capture</x:v>
      </x:c>
      <x:c r="D117" s="110" t="str">
        <x:v>Mythic_Superhero_RPG_World_Constitution_v1.md — §30 Gameplay-Critical Capture; §40 Requirements</x:v>
      </x:c>
      <x:c r="E117" s="110" t="str">
        <x:v>Every canonical event with visual, dialogue, position, injury, equipment, environment, or Beat relevance.</x:v>
      </x:c>
      <x:c r="F117" s="110" t="str">
        <x:v>Subtle honest status such as Recording Campaign History and captured-through checkpoint when requested.</x:v>
      </x:c>
      <x:c r="G117" s="110" t="str">
        <x:v>Only observations, records, communications, and valid inferences in the active character's Knowledge Map.</x:v>
      </x:c>
      <x:c r="H117" s="110" t="str">
        <x:v>No unfinished art, invalid proposal, private reasoning, or hidden canon outside the selected reader ceiling.</x:v>
      </x:c>
      <x:c r="I117" s="110" t="str">
        <x:v>Play normally; inspect capture health; change cadence/settings; mark optional checkpoint.</x:v>
      </x:c>
      <x:c r="J117" s="110" t="str">
        <x:v>Capture never adds gameplay confirmation or latency.</x:v>
      </x:c>
      <x:c r="K117" s="110" t="str">
        <x:v>Source IDs and continuity state record without expensive generation.</x:v>
      </x:c>
      <x:c r="L117" s="110" t="str">
        <x:v>Capture backlog does not lose events or block play.</x:v>
      </x:c>
      <x:c r="M117" s="110" t="str">
        <x:v>Show honest queued/loading/pending state; preserve the player's draft and current world version; do not imply completion.</x:v>
      </x:c>
      <x:c r="N117" s="110" t="str">
        <x:v>Stop or revalidate before commitment; identify the accessible state that changed; preserve intent; refresh the interpretation without leaking hidden causes.</x:v>
      </x:c>
      <x:c r="O117" s="110" t="str">
        <x:v>Event/record ID; campaign timestamp; state version; ruleset/tuning version where applicable; source/provenance; validator result; committed inputs and output.</x:v>
      </x:c>
      <x:c r="P117" s="110" t="str">
        <x:v>Keyboard and screen-reader operable; semantic status text; no hover, drag, motion, or color-only dependency; concise labels with expandable detail.</x:v>
      </x:c>
      <x:c r="Q117" s="110" t="str">
        <x:v>World Strip</x:v>
      </x:c>
      <x:c r="R117" s="110" t="str">
        <x:v>Comic Queue &amp; Library</x:v>
      </x:c>
      <x:c r="S117" s="110" t="str">
        <x:v>Critical</x:v>
      </x:c>
      <x:c r="T117" s="110" t="str">
        <x:v>P0</x:v>
      </x:c>
      <x:c r="U117" s="110" t="str">
        <x:v>Covered</x:v>
      </x:c>
      <x:c r="V117" s="110" t="str"/>
      <x:c r="W117" s="110" t="str"/>
      <x:c r="X117" s="111" t="n">
        <x:f>COUNTA(K117:N117)/4</x:f>
        <x:v>1</x:v>
      </x:c>
      <x:c r="Y117" s="111" t="n">
        <x:f>COUNTA(F117:R117)/13</x:f>
        <x:v>1</x:v>
      </x:c>
      <x:c r="Z117" s="110" t="str">
        <x:f>IF(OR(U117="Gap",U117="Decision Required",S117="Critical",X117&lt;1,Y117&lt;1),"REVIEW","READY")</x:f>
        <x:v>REVIEW</x:v>
      </x:c>
    </x:row>
    <x:row r="118" ht="64" customHeight="1">
      <x:c r="A118" s="110" t="str">
        <x:v>CMC-002</x:v>
      </x:c>
      <x:c r="B118" s="110" t="str">
        <x:v>Comic Capture &amp; Production</x:v>
      </x:c>
      <x:c r="C118" s="110" t="str">
        <x:v>Inflection Point, adaptation window, and Source Lock</x:v>
      </x:c>
      <x:c r="D118" s="110" t="str">
        <x:v>Mythic_Superhero_RPG_World_Constitution_v1.md — §30 Inflection Points/Source Lock</x:v>
      </x:c>
      <x:c r="E118" s="110" t="str">
        <x:v>When the entity or event becomes relevant to the active viewpoint.</x:v>
      </x:c>
      <x:c r="F118" s="110" t="str">
        <x:v>Qualifying inflection, eligible event range, selected cadence, Source Lock time, issue job creation, and immutable input boundary.</x:v>
      </x:c>
      <x:c r="G118" s="110" t="str">
        <x:v>Only observations, records, communications, and valid inferences in the active character's Knowledge Map.</x:v>
      </x:c>
      <x:c r="H118" s="110" t="str">
        <x:v>Later events and hidden canon outside reader ceiling cannot leak into the issue.</x:v>
      </x:c>
      <x:c r="I118" s="110" t="str">
        <x:v>Allow automatic hard inflection, request checkpoint, choose cadence, inspect locked range, or continue playing.</x:v>
      </x:c>
      <x:c r="J118" s="110" t="str">
        <x:v>Manual checkpoint/reader-ceiling change is explicit; hard Inflection does not block play.</x:v>
      </x:c>
      <x:c r="K118" s="110" t="str">
        <x:v>Issue locks input and gameplay immediately continues.</x:v>
      </x:c>
      <x:c r="L118" s="110" t="str">
        <x:v>Later events belong to the next window and cannot rewrite the locked issue.</x:v>
      </x:c>
      <x:c r="M118" s="110" t="str">
        <x:v>Show honest queued/loading/pending state; preserve the player's draft and current world version; do not imply completion.</x:v>
      </x:c>
      <x:c r="N118" s="110" t="str">
        <x:v>Stop or revalidate before commitment; identify the accessible state that changed; preserve intent; refresh the interpretation without leaking hidden causes.</x:v>
      </x:c>
      <x:c r="O118" s="110" t="str">
        <x:v>Event/record ID; campaign timestamp; state version; ruleset/tuning version where applicable; source/provenance; validator result; committed inputs and output.</x:v>
      </x:c>
      <x:c r="P118" s="110" t="str">
        <x:v>Keyboard and screen-reader operable; semantic status text; no hover, drag, motion, or color-only dependency; concise labels with expandable detail.</x:v>
      </x:c>
      <x:c r="Q118" s="110" t="str">
        <x:v>Comic Queue &amp; Library</x:v>
      </x:c>
      <x:c r="R118" s="110" t="str">
        <x:v>Chronicle &amp; Audit</x:v>
      </x:c>
      <x:c r="S118" s="110" t="str">
        <x:v>Critical</x:v>
      </x:c>
      <x:c r="T118" s="110" t="str">
        <x:v>P0</x:v>
      </x:c>
      <x:c r="U118" s="110" t="str">
        <x:v>Covered</x:v>
      </x:c>
      <x:c r="V118" s="110" t="str"/>
      <x:c r="W118" s="110" t="str"/>
      <x:c r="X118" s="111" t="n">
        <x:f>COUNTA(K118:N118)/4</x:f>
        <x:v>1</x:v>
      </x:c>
      <x:c r="Y118" s="111" t="n">
        <x:f>COUNTA(F118:R118)/13</x:f>
        <x:v>1</x:v>
      </x:c>
      <x:c r="Z118" s="110" t="str">
        <x:f>IF(OR(U118="Gap",U118="Decision Required",S118="Critical",X118&lt;1,Y118&lt;1),"REVIEW","READY")</x:f>
        <x:v>REVIEW</x:v>
      </x:c>
    </x:row>
    <x:row r="119" ht="64" customHeight="1">
      <x:c r="A119" s="110" t="str">
        <x:v>CMC-003</x:v>
      </x:c>
      <x:c r="B119" s="110" t="str">
        <x:v>Comic Capture &amp; Production</x:v>
      </x:c>
      <x:c r="C119" s="110" t="str">
        <x:v>Durable production queue, stages, retries, and progress</x:v>
      </x:c>
      <x:c r="D119" s="110" t="str">
        <x:v>Mythic_Superhero_RPG_World_Constitution_v1.md — §30 Background Queue/Production Job Lifecycle</x:v>
      </x:c>
      <x:c r="E119" s="110" t="str">
        <x:v>When the entity or event becomes relevant to the active viewpoint.</x:v>
      </x:c>
      <x:c r="F119" s="110" t="str">
        <x:v>Recording, Waiting for Inflection, Preparing, Source Locked, Outlined, Scripted, Storyboarded, Generating, QA, Exporting, Ready/Approved, Published, or Blocked.</x:v>
      </x:c>
      <x:c r="G119" s="110" t="str">
        <x:v>Only observations, records, communications, and valid inferences in the active character's Knowledge Map.</x:v>
      </x:c>
      <x:c r="H119" s="110" t="str">
        <x:v>Failed/partial art stays hidden by default; no completion promise without reliable estimate.</x:v>
      </x:c>
      <x:c r="I119" s="110" t="str">
        <x:v>Continue play, inspect stage, enable authorized WIP, retry targeted blocked stage, or wait.</x:v>
      </x:c>
      <x:c r="J119" s="110" t="str">
        <x:v>No routine confirmation; WIP visibility is opt-in.</x:v>
      </x:c>
      <x:c r="K119" s="110" t="str">
        <x:v>Work resumes from last valid checkpoint and multiple issues may queue.</x:v>
      </x:c>
      <x:c r="L119" s="110" t="str">
        <x:v>Retry never restarts completed work or presents partial output as finished.</x:v>
      </x:c>
      <x:c r="M119" s="110" t="str">
        <x:v>Show honest queued/loading/pending state; preserve the player's draft and current world version; do not imply completion.</x:v>
      </x:c>
      <x:c r="N119" s="110" t="str">
        <x:v>Stop or revalidate before commitment; identify the accessible state that changed; preserve intent; refresh the interpretation without leaking hidden causes.</x:v>
      </x:c>
      <x:c r="O119" s="110" t="str">
        <x:v>Event/record ID; campaign timestamp; state version; ruleset/tuning version where applicable; source/provenance; validator result; committed inputs and output.</x:v>
      </x:c>
      <x:c r="P119" s="110" t="str">
        <x:v>Keyboard and screen-reader operable; semantic status text; no hover, drag, motion, or color-only dependency; concise labels with expandable detail.</x:v>
      </x:c>
      <x:c r="Q119" s="110" t="str">
        <x:v>Comic Queue &amp; Library</x:v>
      </x:c>
      <x:c r="R119" s="110" t="str">
        <x:v>World Strip</x:v>
      </x:c>
      <x:c r="S119" s="110" t="str">
        <x:v>Critical</x:v>
      </x:c>
      <x:c r="T119" s="110" t="str">
        <x:v>P0</x:v>
      </x:c>
      <x:c r="U119" s="110" t="str">
        <x:v>Gap</x:v>
      </x:c>
      <x:c r="V119" s="110" t="str">
        <x:v>GAP-008</x:v>
      </x:c>
      <x:c r="W119" s="110" t="str"/>
      <x:c r="X119" s="111" t="n">
        <x:f>COUNTA(K119:N119)/4</x:f>
        <x:v>1</x:v>
      </x:c>
      <x:c r="Y119" s="111" t="n">
        <x:f>COUNTA(F119:R119)/13</x:f>
        <x:v>1</x:v>
      </x:c>
      <x:c r="Z119" s="110" t="str">
        <x:f>IF(OR(U119="Gap",U119="Decision Required",S119="Critical",X119&lt;1,Y119&lt;1),"REVIEW","READY")</x:f>
        <x:v>REVIEW</x:v>
      </x:c>
    </x:row>
    <x:row r="120" ht="64" customHeight="1">
      <x:c r="A120" s="110" t="str">
        <x:v>CMC-004</x:v>
      </x:c>
      <x:c r="B120" s="110" t="str">
        <x:v>Comic Capture &amp; Production</x:v>
      </x:c>
      <x:c r="C120" s="110" t="str">
        <x:v>Reader Knowledge Ceiling and viewpoint</x:v>
      </x:c>
      <x:c r="D120" s="110" t="str">
        <x:v>Mythic_Superhero_RPG_World_Constitution_v1.md — §30 Reader Knowledge Ceiling</x:v>
      </x:c>
      <x:c r="E120" s="110" t="str">
        <x:v>When the entity or event becomes relevant to the active viewpoint.</x:v>
      </x:c>
      <x:c r="F120" s="110" t="str">
        <x:v>Selected mode—Character Viewpoint, Party Shared, Player-Safe, or explicitly authorized Omniscient Archive—and what it permits.</x:v>
      </x:c>
      <x:c r="G120" s="110" t="str">
        <x:v>Only observations, records, communications, and valid inferences in the active character's Knowledge Map.</x:v>
      </x:c>
      <x:c r="H120" s="110" t="str">
        <x:v>All information above the ceiling, including motives, topology, identities, future effects, and falsehood classification.</x:v>
      </x:c>
      <x:c r="I120" s="110" t="str">
        <x:v>Choose permitted ceiling, switch reader mode, inspect source, or exit reader.</x:v>
      </x:c>
      <x:c r="J120" s="110" t="str">
        <x:v>Omniscient Archive requires explicit authorization and cannot contaminate character knowledge.</x:v>
      </x:c>
      <x:c r="K120" s="110" t="str">
        <x:v>Panels/captions/alt text obey the ceiling at the represented timestamp.</x:v>
      </x:c>
      <x:c r="L120" s="110" t="str">
        <x:v>Foreshadowing requires actual recorded tell/evidence; no hidden-canon leak.</x:v>
      </x:c>
      <x:c r="M120" s="110" t="str">
        <x:v>Show honest queued/loading/pending state; preserve the player's draft and current world version; do not imply completion.</x:v>
      </x:c>
      <x:c r="N120" s="110" t="str">
        <x:v>Stop or revalidate before commitment; identify the accessible state that changed; preserve intent; refresh the interpretation without leaking hidden causes.</x:v>
      </x:c>
      <x:c r="O120" s="110" t="str">
        <x:v>Event/record ID; campaign timestamp; state version; ruleset/tuning version where applicable; source/provenance; validator result; committed inputs and output.</x:v>
      </x:c>
      <x:c r="P120" s="110" t="str">
        <x:v>Keyboard and screen-reader operable; semantic status text; no hover, drag, motion, or color-only dependency; concise labels with expandable detail.</x:v>
      </x:c>
      <x:c r="Q120" s="110" t="str">
        <x:v>Comic Queue &amp; Library</x:v>
      </x:c>
      <x:c r="R120" s="110" t="str">
        <x:v>Chronicle &amp; Audit</x:v>
      </x:c>
      <x:c r="S120" s="110" t="str">
        <x:v>Critical</x:v>
      </x:c>
      <x:c r="T120" s="110" t="str">
        <x:v>P0</x:v>
      </x:c>
      <x:c r="U120" s="110" t="str">
        <x:v>Covered</x:v>
      </x:c>
      <x:c r="V120" s="110" t="str"/>
      <x:c r="W120" s="110" t="str"/>
      <x:c r="X120" s="111" t="n">
        <x:f>COUNTA(K120:N120)/4</x:f>
        <x:v>1</x:v>
      </x:c>
      <x:c r="Y120" s="111" t="n">
        <x:f>COUNTA(F120:R120)/13</x:f>
        <x:v>1</x:v>
      </x:c>
      <x:c r="Z120" s="110" t="str">
        <x:f>IF(OR(U120="Gap",U120="Decision Required",S120="Critical",X120&lt;1,Y120&lt;1),"REVIEW","READY")</x:f>
        <x:v>REVIEW</x:v>
      </x:c>
    </x:row>
    <x:row r="121" ht="64" customHeight="1">
      <x:c r="A121" s="110" t="str">
        <x:v>CMC-005</x:v>
      </x:c>
      <x:c r="B121" s="110" t="str">
        <x:v>Comic Capture &amp; Production</x:v>
      </x:c>
      <x:c r="C121" s="110" t="str">
        <x:v>Issue library, reader, accessible editions, and collected editions</x:v>
      </x:c>
      <x:c r="D121" s="110" t="str">
        <x:v>Mythic_Superhero_RPG_World_Constitution_v1.md — §30 Adaptation Forms/Accessibility/Publication; §32 Issue #0 Options</x:v>
      </x:c>
      <x:c r="E121" s="110" t="str">
        <x:v>When the entity or event becomes relevant to the active viewpoint.</x:v>
      </x:c>
      <x:c r="F121" s="110" t="str">
        <x:v>Issue/volume/edition, publication state, source range, reading modes, alt text, transcript, localization, credits, and provenance.</x:v>
      </x:c>
      <x:c r="G121" s="110" t="str">
        <x:v>Only observations, records, communications, and valid inferences in the active character's Knowledge Map.</x:v>
      </x:c>
      <x:c r="H121" s="110" t="str">
        <x:v>Unpublished WIP and superseded/private editions follow permissions.</x:v>
      </x:c>
      <x:c r="I121" s="110" t="str">
        <x:v>Read, panel-step, audio-describe, view transcript, change locale, download/export permitted format, or defer.</x:v>
      </x:c>
      <x:c r="J121" s="110" t="str">
        <x:v>No confirmation for reading; in-world publication is a separate canonical action.</x:v>
      </x:c>
      <x:c r="K121" s="110" t="str">
        <x:v>Published edition is immutable and accessible.</x:v>
      </x:c>
      <x:c r="L121" s="110" t="str">
        <x:v>Corrupt asset falls back to accessible text/summary when available without blocking gameplay.</x:v>
      </x:c>
      <x:c r="M121" s="110" t="str">
        <x:v>Show honest queued/loading/pending state; preserve the player's draft and current world version; do not imply completion.</x:v>
      </x:c>
      <x:c r="N121" s="110" t="str">
        <x:v>Stop or revalidate before commitment; identify the accessible state that changed; preserve intent; refresh the interpretation without leaking hidden causes.</x:v>
      </x:c>
      <x:c r="O121" s="110" t="str">
        <x:v>Event/record ID; campaign timestamp; state version; ruleset/tuning version where applicable; source/provenance; validator result; committed inputs and output.</x:v>
      </x:c>
      <x:c r="P121" s="110" t="str">
        <x:v>Keyboard and screen-reader operable; semantic status text; no hover, drag, motion, or color-only dependency; concise labels with expandable detail.</x:v>
      </x:c>
      <x:c r="Q121" s="110" t="str">
        <x:v>Comic Queue &amp; Library</x:v>
      </x:c>
      <x:c r="R121" s="110" t="str">
        <x:v>Settings &amp; Accessibility</x:v>
      </x:c>
      <x:c r="S121" s="110" t="str">
        <x:v>High</x:v>
      </x:c>
      <x:c r="T121" s="110" t="str">
        <x:v>P1</x:v>
      </x:c>
      <x:c r="U121" s="110" t="str">
        <x:v>Covered</x:v>
      </x:c>
      <x:c r="V121" s="110" t="str"/>
      <x:c r="W121" s="110" t="str"/>
      <x:c r="X121" s="111" t="n">
        <x:f>COUNTA(K121:N121)/4</x:f>
        <x:v>1</x:v>
      </x:c>
      <x:c r="Y121" s="111" t="n">
        <x:f>COUNTA(F121:R121)/13</x:f>
        <x:v>1</x:v>
      </x:c>
      <x:c r="Z121" s="110" t="str">
        <x:f>IF(OR(U121="Gap",U121="Decision Required",S121="Critical",X121&lt;1,Y121&lt;1),"REVIEW","READY")</x:f>
        <x:v>READY</x:v>
      </x:c>
    </x:row>
    <x:row r="122" ht="64" customHeight="1">
      <x:c r="A122" s="110" t="str">
        <x:v>CMC-006</x:v>
      </x:c>
      <x:c r="B122" s="110" t="str">
        <x:v>Comic Capture &amp; Production</x:v>
      </x:c>
      <x:c r="C122" s="110" t="str">
        <x:v>WIP review, editor permissions, and targeted regeneration</x:v>
      </x:c>
      <x:c r="D122" s="110" t="str">
        <x:v>Mythic_Superhero_RPG_World_Constitution_v1.md — §30 Background Expectations/Editor Permissions</x:v>
      </x:c>
      <x:c r="E122" s="110" t="str">
        <x:v>When the entity or event becomes relevant to the active viewpoint.</x:v>
      </x:c>
      <x:c r="F122" s="110" t="str">
        <x:v>Only explicitly enabled storyboard/WIP assets; source manifest; permitted edit controls; QA failures; candidate/edition status.</x:v>
      </x:c>
      <x:c r="G122" s="110" t="str">
        <x:v>Only observations, records, communications, and valid inferences in the active character's Knowledge Map.</x:v>
      </x:c>
      <x:c r="H122" s="110" t="str">
        <x:v>Hidden canon above reader ceiling; invalid art does not become canon; private provider internals need not surface.</x:v>
      </x:c>
      <x:c r="I122" s="110" t="str">
        <x:v>Select eligible candidate, crop, adjust color, move lettering, condense within rules, regenerate panel/layer, or return to source issue record.</x:v>
      </x:c>
      <x:c r="J122" s="110" t="str">
        <x:v>WIP opt-in and any corrected-edition publication require explicit action.</x:v>
      </x:c>
      <x:c r="K122" s="110" t="str">
        <x:v>Edits remain within source and create traceable asset versions.</x:v>
      </x:c>
      <x:c r="L122" s="110" t="str">
        <x:v>Desired story change cannot be painted into comic; must return to canonical event layer.</x:v>
      </x:c>
      <x:c r="M122" s="110" t="str">
        <x:v>Show honest queued/loading/pending state; preserve the player's draft and current world version; do not imply completion.</x:v>
      </x:c>
      <x:c r="N122" s="110" t="str">
        <x:v>Stop or revalidate before commitment; identify the accessible state that changed; preserve intent; refresh the interpretation without leaking hidden causes.</x:v>
      </x:c>
      <x:c r="O122" s="110" t="str">
        <x:v>Event/record ID; campaign timestamp; state version; ruleset/tuning version where applicable; source/provenance; validator result; committed inputs and output.</x:v>
      </x:c>
      <x:c r="P122" s="110" t="str">
        <x:v>Keyboard and screen-reader operable; semantic status text; no hover, drag, motion, or color-only dependency; concise labels with expandable detail.</x:v>
      </x:c>
      <x:c r="Q122" s="110" t="str">
        <x:v>Comic Queue &amp; Library</x:v>
      </x:c>
      <x:c r="R122" s="110" t="str">
        <x:v>Chronicle &amp; Audit</x:v>
      </x:c>
      <x:c r="S122" s="110" t="str">
        <x:v>Critical</x:v>
      </x:c>
      <x:c r="T122" s="110" t="str">
        <x:v>P1</x:v>
      </x:c>
      <x:c r="U122" s="110" t="str">
        <x:v>Gap</x:v>
      </x:c>
      <x:c r="V122" s="110" t="str">
        <x:v>GAP-009</x:v>
      </x:c>
      <x:c r="W122" s="110" t="str"/>
      <x:c r="X122" s="111" t="n">
        <x:f>COUNTA(K122:N122)/4</x:f>
        <x:v>1</x:v>
      </x:c>
      <x:c r="Y122" s="111" t="n">
        <x:f>COUNTA(F122:R122)/13</x:f>
        <x:v>1</x:v>
      </x:c>
      <x:c r="Z122" s="110" t="str">
        <x:f>IF(OR(U122="Gap",U122="Decision Required",S122="Critical",X122&lt;1,Y122&lt;1),"REVIEW","READY")</x:f>
        <x:v>REVIEW</x:v>
      </x:c>
    </x:row>
    <x:row r="123" ht="64" customHeight="1">
      <x:c r="A123" s="110" t="str">
        <x:v>CMC-007</x:v>
      </x:c>
      <x:c r="B123" s="110" t="str">
        <x:v>Comic Capture &amp; Production</x:v>
      </x:c>
      <x:c r="C123" s="110" t="str">
        <x:v>Art, continuity, lettering, page, accessibility, and export QA</x:v>
      </x:c>
      <x:c r="D123" s="110" t="str">
        <x:v>Mythic_Superhero_RPG_World_Constitution_v1.md — §30 Hard QA/Soft Score/Lettering/Acceptance Gates</x:v>
      </x:c>
      <x:c r="E123" s="110" t="str">
        <x:v>When the entity or event becomes relevant to the active viewpoint.</x:v>
      </x:c>
      <x:c r="F123" s="110" t="str">
        <x:v>Stage-level pass/block status, actionable issue category, affected page/panel, and permitted remediation.</x:v>
      </x:c>
      <x:c r="G123" s="110" t="str">
        <x:v>Only observations, records, communications, and valid inferences in the active character's Knowledge Map.</x:v>
      </x:c>
      <x:c r="H123" s="110" t="str">
        <x:v>No rejected asset is shown as final; hidden information remains outside QA previews unless authorized.</x:v>
      </x:c>
      <x:c r="I123" s="110" t="str">
        <x:v>Retry affected asset, adjust staging within canon, change provider, perform manual correction, or keep blocked.</x:v>
      </x:c>
      <x:c r="J123" s="110" t="str">
        <x:v>Publishing requires every hard gate; human approval cannot waive canon failure.</x:v>
      </x:c>
      <x:c r="K123" s="110" t="str">
        <x:v>Only complete QA-passing issue reaches Approved/Published.</x:v>
      </x:c>
      <x:c r="L123" s="110" t="str">
        <x:v>Blocked is honest and resumable; gameplay continues.</x:v>
      </x:c>
      <x:c r="M123" s="110" t="str">
        <x:v>Show honest queued/loading/pending state; preserve the player's draft and current world version; do not imply completion.</x:v>
      </x:c>
      <x:c r="N123" s="110" t="str">
        <x:v>Stop or revalidate before commitment; identify the accessible state that changed; preserve intent; refresh the interpretation without leaking hidden causes.</x:v>
      </x:c>
      <x:c r="O123" s="110" t="str">
        <x:v>Event/record ID; campaign timestamp; state version; ruleset/tuning version where applicable; source/provenance; validator result; committed inputs and output.</x:v>
      </x:c>
      <x:c r="P123" s="110" t="str">
        <x:v>Keyboard and screen-reader operable; semantic status text; no hover, drag, motion, or color-only dependency; concise labels with expandable detail.</x:v>
      </x:c>
      <x:c r="Q123" s="110" t="str">
        <x:v>Comic Queue &amp; Library</x:v>
      </x:c>
      <x:c r="R123" s="110" t="str">
        <x:v>Support &amp; Recovery</x:v>
      </x:c>
      <x:c r="S123" s="110" t="str">
        <x:v>Critical</x:v>
      </x:c>
      <x:c r="T123" s="110" t="str">
        <x:v>P1</x:v>
      </x:c>
      <x:c r="U123" s="110" t="str">
        <x:v>Covered</x:v>
      </x:c>
      <x:c r="V123" s="110" t="str"/>
      <x:c r="W123" s="110" t="str"/>
      <x:c r="X123" s="111" t="n">
        <x:f>COUNTA(K123:N123)/4</x:f>
        <x:v>1</x:v>
      </x:c>
      <x:c r="Y123" s="111" t="n">
        <x:f>COUNTA(F123:R123)/13</x:f>
        <x:v>1</x:v>
      </x:c>
      <x:c r="Z123" s="110" t="str">
        <x:f>IF(OR(U123="Gap",U123="Decision Required",S123="Critical",X123&lt;1,Y123&lt;1),"REVIEW","READY")</x:f>
        <x:v>REVIEW</x:v>
      </x:c>
    </x:row>
    <x:row r="124" ht="64" customHeight="1">
      <x:c r="A124" s="110" t="str">
        <x:v>CMC-008</x:v>
      </x:c>
      <x:c r="B124" s="110" t="str">
        <x:v>Comic Capture &amp; Production</x:v>
      </x:c>
      <x:c r="C124" s="110" t="str">
        <x:v>Corrections, immutable editions, and supersession history</x:v>
      </x:c>
      <x:c r="D124" s="110" t="str">
        <x:v>Mythic_Superhero_RPG_World_Constitution_v1.md — §30 Asset Versioning/Editor/Production; Published Editions</x:v>
      </x:c>
      <x:c r="E124" s="110" t="str">
        <x:v>When the entity or event becomes relevant to the active viewpoint.</x:v>
      </x:c>
      <x:c r="F124" s="110" t="str">
        <x:v>Edition number, correction reason, superseded link, changed assets, source range, publication date, and accessible comparison.</x:v>
      </x:c>
      <x:c r="G124" s="110" t="str">
        <x:v>Only observations, records, communications, and valid inferences in the active character's Knowledge Map.</x:v>
      </x:c>
      <x:c r="H124" s="110" t="str">
        <x:v>No silent replacement or backdated canon change.</x:v>
      </x:c>
      <x:c r="I124" s="110" t="str">
        <x:v>Issue corrected edition, inspect history, retain/download prior edition if permitted, or withdraw distribution without deleting history.</x:v>
      </x:c>
      <x:c r="J124" s="110" t="str">
        <x:v>Publishing a corrected edition and in-world replacement are distinct explicit actions.</x:v>
      </x:c>
      <x:c r="K124" s="110" t="str">
        <x:v>New edition supersedes while prior bytes and provenance remain immutable.</x:v>
      </x:c>
      <x:c r="L124" s="110" t="str">
        <x:v>Correction cannot change canonical outcome or hide prior published provenance.</x:v>
      </x:c>
      <x:c r="M124" s="110" t="str">
        <x:v>Show honest queued/loading/pending state; preserve the player's draft and current world version; do not imply completion.</x:v>
      </x:c>
      <x:c r="N124" s="110" t="str">
        <x:v>Stop or revalidate before commitment; identify the accessible state that changed; preserve intent; refresh the interpretation without leaking hidden causes.</x:v>
      </x:c>
      <x:c r="O124" s="110" t="str">
        <x:v>Event/record ID; campaign timestamp; state version; ruleset/tuning version where applicable; source/provenance; validator result; committed inputs and output.</x:v>
      </x:c>
      <x:c r="P124" s="110" t="str">
        <x:v>Keyboard and screen-reader operable; semantic status text; no hover, drag, motion, or color-only dependency; concise labels with expandable detail.</x:v>
      </x:c>
      <x:c r="Q124" s="110" t="str">
        <x:v>Comic Queue &amp; Library</x:v>
      </x:c>
      <x:c r="R124" s="110" t="str">
        <x:v>Chronicle &amp; Audit</x:v>
      </x:c>
      <x:c r="S124" s="110" t="str">
        <x:v>High</x:v>
      </x:c>
      <x:c r="T124" s="110" t="str">
        <x:v>P1</x:v>
      </x:c>
      <x:c r="U124" s="110" t="str">
        <x:v>Gap</x:v>
      </x:c>
      <x:c r="V124" s="110" t="str">
        <x:v>GAP-016</x:v>
      </x:c>
      <x:c r="W124" s="110" t="str"/>
      <x:c r="X124" s="111" t="n">
        <x:f>COUNTA(K124:N124)/4</x:f>
        <x:v>1</x:v>
      </x:c>
      <x:c r="Y124" s="111" t="n">
        <x:f>COUNTA(F124:R124)/13</x:f>
        <x:v>1</x:v>
      </x:c>
      <x:c r="Z124" s="110" t="str">
        <x:f>IF(OR(U124="Gap",U124="Decision Required",S124="Critical",X124&lt;1,Y124&lt;1),"REVIEW","READY")</x:f>
        <x:v>REVIEW</x:v>
      </x:c>
    </x:row>
    <x:row r="125" ht="64" customHeight="1">
      <x:c r="A125" s="110" t="str">
        <x:v>ACC-001</x:v>
      </x:c>
      <x:c r="B125" s="110" t="str">
        <x:v>Accessibility, Settings &amp; Support</x:v>
      </x:c>
      <x:c r="C125" s="110" t="str">
        <x:v>Content controls, Lines, Veils, and presentation intensity</x:v>
      </x:c>
      <x:c r="D125" s="110" t="str">
        <x:v>Mythic_Superhero_RPG_World_Constitution_v1.md — §32 Player Profile and Content Controls</x:v>
      </x:c>
      <x:c r="E125" s="110" t="str">
        <x:v>When the entity or event becomes relevant to the active viewpoint.</x:v>
      </x:c>
      <x:c r="F125" s="110" t="str">
        <x:v>Topic controls, Line/Veil meaning, premise conflicts, presentation intensity, private/shareable assets, and current scope.</x:v>
      </x:c>
      <x:c r="G125" s="110" t="str">
        <x:v>Only observations, records, communications, and valid inferences in the active character's Knowledge Map.</x:v>
      </x:c>
      <x:c r="H125" s="110" t="str">
        <x:v>Sensitive preferences are out-of-world and unavailable to character agents unless deliberately shared.</x:v>
      </x:c>
      <x:c r="I125" s="110" t="str">
        <x:v>Set/change controls, review conflicts, choose alternate configuration, or leave unchanged.</x:v>
      </x:c>
      <x:c r="J125" s="110" t="str">
        <x:v>System never infers sensitive controls from prose; material premise conflict is explained before Campaign Commit.</x:v>
      </x:c>
      <x:c r="K125" s="110" t="str">
        <x:v>Line excludes prospectively; Veil reduces presentation while state resolves as allowed.</x:v>
      </x:c>
      <x:c r="L125" s="110" t="str">
        <x:v>Dynamic post-commit boundary conflict needs a supported resolution path rather than silent violation.</x:v>
      </x:c>
      <x:c r="M125" s="110" t="str">
        <x:v>Show honest queued/loading/pending state; preserve the player's draft and current world version; do not imply completion.</x:v>
      </x:c>
      <x:c r="N125" s="110" t="str">
        <x:v>Stop or revalidate before commitment; identify the accessible state that changed; preserve intent; refresh the interpretation without leaking hidden causes.</x:v>
      </x:c>
      <x:c r="O125" s="110" t="str">
        <x:v>Event/record ID; campaign timestamp; state version; ruleset/tuning version where applicable; source/provenance; validator result; committed inputs and output.</x:v>
      </x:c>
      <x:c r="P125" s="110" t="str">
        <x:v>Keyboard and screen-reader operable; semantic status text; no hover, drag, motion, or color-only dependency; concise labels with expandable detail.</x:v>
      </x:c>
      <x:c r="Q125" s="110" t="str">
        <x:v>Settings &amp; Accessibility</x:v>
      </x:c>
      <x:c r="R125" s="110" t="str">
        <x:v>Onboarding &amp; Creation</x:v>
      </x:c>
      <x:c r="S125" s="110" t="str">
        <x:v>Critical</x:v>
      </x:c>
      <x:c r="T125" s="110" t="str">
        <x:v>P0</x:v>
      </x:c>
      <x:c r="U125" s="110" t="str">
        <x:v>Gap</x:v>
      </x:c>
      <x:c r="V125" s="110" t="str">
        <x:v>GAP-010</x:v>
      </x:c>
      <x:c r="W125" s="110" t="str"/>
      <x:c r="X125" s="111" t="n">
        <x:f>COUNTA(K125:N125)/4</x:f>
        <x:v>1</x:v>
      </x:c>
      <x:c r="Y125" s="111" t="n">
        <x:f>COUNTA(F125:R125)/13</x:f>
        <x:v>1</x:v>
      </x:c>
      <x:c r="Z125" s="110" t="str">
        <x:f>IF(OR(U125="Gap",U125="Decision Required",S125="Critical",X125&lt;1,Y125&lt;1),"REVIEW","READY")</x:f>
        <x:v>REVIEW</x:v>
      </x:c>
    </x:row>
    <x:row r="126" ht="64" customHeight="1">
      <x:c r="A126" s="110" t="str">
        <x:v>ACC-002</x:v>
      </x:c>
      <x:c r="B126" s="110" t="str">
        <x:v>Accessibility, Settings &amp; Support</x:v>
      </x:c>
      <x:c r="C126" s="110" t="str">
        <x:v>Input preferences and dice source</x:v>
      </x:c>
      <x:c r="D126" s="110" t="str">
        <x:v>Mythic_Superhero_RPG_World_Constitution_v1.md — §32 Player Profile; Explanation Controls</x:v>
      </x:c>
      <x:c r="E126" s="110" t="str">
        <x:v>When the entity or event becomes relevant to the active viewpoint.</x:v>
      </x:c>
      <x:c r="F126" s="110" t="str">
        <x:v>Keyboard, pointer, controller, voice, reduced-input, automated dice, manual entry, or external dice choice and canonical-record implications.</x:v>
      </x:c>
      <x:c r="G126" s="110" t="str">
        <x:v>Only observations, records, communications, and valid inferences in the active character's Knowledge Map.</x:v>
      </x:c>
      <x:c r="H126" s="110" t="str">
        <x:v>No preference changes character capability or odds.</x:v>
      </x:c>
      <x:c r="I126" s="110" t="str">
        <x:v>Change input mode, remap controls, choose dice source within campaign policy, and test settings.</x:v>
      </x:c>
      <x:c r="J126" s="110" t="str">
        <x:v>Switching dice source during a pending roll is blocked or confirmed under the eventual integrity policy.</x:v>
      </x:c>
      <x:c r="K126" s="110" t="str">
        <x:v>All sources produce the same audit schema.</x:v>
      </x:c>
      <x:c r="L126" s="110" t="str">
        <x:v>Unavailable input path has an equivalent accessible route.</x:v>
      </x:c>
      <x:c r="M126" s="110" t="str">
        <x:v>Show honest queued/loading/pending state; preserve the player's draft and current world version; do not imply completion.</x:v>
      </x:c>
      <x:c r="N126" s="110" t="str">
        <x:v>Stop or revalidate before commitment; identify the accessible state that changed; preserve intent; refresh the interpretation without leaking hidden causes.</x:v>
      </x:c>
      <x:c r="O126" s="110" t="str">
        <x:v>Event/record ID; campaign timestamp; state version; ruleset/tuning version where applicable; source/provenance; validator result; committed inputs and output.</x:v>
      </x:c>
      <x:c r="P126" s="110" t="str">
        <x:v>Keyboard and screen-reader operable; semantic status text; no hover, drag, motion, or color-only dependency; concise labels with expandable detail.</x:v>
      </x:c>
      <x:c r="Q126" s="110" t="str">
        <x:v>Settings &amp; Accessibility</x:v>
      </x:c>
      <x:c r="R126" s="110" t="str">
        <x:v>Intent Dock</x:v>
      </x:c>
      <x:c r="S126" s="110" t="str">
        <x:v>High</x:v>
      </x:c>
      <x:c r="T126" s="110" t="str">
        <x:v>P1</x:v>
      </x:c>
      <x:c r="U126" s="110" t="str">
        <x:v>Gap</x:v>
      </x:c>
      <x:c r="V126" s="110" t="str">
        <x:v>GAP-012</x:v>
      </x:c>
      <x:c r="W126" s="110" t="str"/>
      <x:c r="X126" s="111" t="n">
        <x:f>COUNTA(K126:N126)/4</x:f>
        <x:v>1</x:v>
      </x:c>
      <x:c r="Y126" s="111" t="n">
        <x:f>COUNTA(F126:R126)/13</x:f>
        <x:v>1</x:v>
      </x:c>
      <x:c r="Z126" s="110" t="str">
        <x:f>IF(OR(U126="Gap",U126="Decision Required",S126="Critical",X126&lt;1,Y126&lt;1),"REVIEW","READY")</x:f>
        <x:v>REVIEW</x:v>
      </x:c>
    </x:row>
    <x:row r="127" ht="64" customHeight="1">
      <x:c r="A127" s="110" t="str">
        <x:v>ACC-003</x:v>
      </x:c>
      <x:c r="B127" s="110" t="str">
        <x:v>Accessibility, Settings &amp; Support</x:v>
      </x:c>
      <x:c r="C127" s="110" t="str">
        <x:v>Keyboard, screen reader, focus order, and semantic landmarks</x:v>
      </x:c>
      <x:c r="D127" s="110" t="str">
        <x:v>Mythic_Superhero_RPG_World_Constitution_v1.md — Handoff Principle 9; §30 Accessibility; §32 Acceptance Gates</x:v>
      </x:c>
      <x:c r="E127" s="110" t="str">
        <x:v>When the entity or event becomes relevant to the active viewpoint.</x:v>
      </x:c>
      <x:c r="F127" s="110" t="str">
        <x:v>Named regions, state changes, reading order, actionable controls, error summaries, timing windows, and skip links.</x:v>
      </x:c>
      <x:c r="G127" s="110" t="str">
        <x:v>Only observations, records, communications, and valid inferences in the active character's Knowledge Map.</x:v>
      </x:c>
      <x:c r="H127" s="110" t="str">
        <x:v>Engine-only truth; other actors' private knowledge, motives, and undisclosed records.</x:v>
      </x:c>
      <x:c r="I127" s="110" t="str">
        <x:v>Complete every core loop action without pointer or vision; review changes and control verbosity.</x:v>
      </x:c>
      <x:c r="J127" s="110" t="str">
        <x:v>Confirmations are programmatically associated with the exact commitment.</x:v>
      </x:c>
      <x:c r="K127" s="110" t="str">
        <x:v>Intent, inspection, commit, resolution, and follow-up are fully operable.</x:v>
      </x:c>
      <x:c r="L127" s="110" t="str">
        <x:v>No mechanic exists only in hover, drag, canvas coordinates, or unlabeled visual treatment.</x:v>
      </x:c>
      <x:c r="M127" s="110" t="str">
        <x:v>Show honest queued/loading/pending state; preserve the player's draft and current world version; do not imply completion.</x:v>
      </x:c>
      <x:c r="N127" s="110" t="str">
        <x:v>Stop or revalidate before commitment; identify the accessible state that changed; preserve intent; refresh the interpretation without leaking hidden causes.</x:v>
      </x:c>
      <x:c r="O127" s="110" t="str">
        <x:v>Event/record ID; campaign timestamp; state version; ruleset/tuning version where applicable; source/provenance; validator result; committed inputs and output.</x:v>
      </x:c>
      <x:c r="P127" s="110" t="str">
        <x:v>Keyboard and screen-reader operable; semantic status text; no hover, drag, motion, or color-only dependency; concise labels with expandable detail.</x:v>
      </x:c>
      <x:c r="Q127" s="110" t="str">
        <x:v>Settings &amp; Accessibility</x:v>
      </x:c>
      <x:c r="R127" s="110" t="str">
        <x:v>Support &amp; Recovery</x:v>
      </x:c>
      <x:c r="S127" s="110" t="str">
        <x:v>Critical</x:v>
      </x:c>
      <x:c r="T127" s="110" t="str">
        <x:v>P0</x:v>
      </x:c>
      <x:c r="U127" s="110" t="str">
        <x:v>Covered</x:v>
      </x:c>
      <x:c r="V127" s="110" t="str"/>
      <x:c r="W127" s="110" t="str"/>
      <x:c r="X127" s="111" t="n">
        <x:f>COUNTA(K127:N127)/4</x:f>
        <x:v>1</x:v>
      </x:c>
      <x:c r="Y127" s="111" t="n">
        <x:f>COUNTA(F127:R127)/13</x:f>
        <x:v>1</x:v>
      </x:c>
      <x:c r="Z127" s="110" t="str">
        <x:f>IF(OR(U127="Gap",U127="Decision Required",S127="Critical",X127&lt;1,Y127&lt;1),"REVIEW","READY")</x:f>
        <x:v>REVIEW</x:v>
      </x:c>
    </x:row>
    <x:row r="128" ht="64" customHeight="1">
      <x:c r="A128" s="110" t="str">
        <x:v>ACC-004</x:v>
      </x:c>
      <x:c r="B128" s="110" t="str">
        <x:v>Accessibility, Settings &amp; Support</x:v>
      </x:c>
      <x:c r="C128" s="110" t="str">
        <x:v>Reduced motion, large text, contrast, color independence, and audio alternatives</x:v>
      </x:c>
      <x:c r="D128" s="110" t="str">
        <x:v>Mythic_Superhero_RPG_World_Constitution_v1.md — Handoff Principle 9; §30 Accessibility; §32 Profile</x:v>
      </x:c>
      <x:c r="E128" s="110" t="str">
        <x:v>When the entity or event becomes relevant to the active viewpoint.</x:v>
      </x:c>
      <x:c r="F128" s="110" t="str">
        <x:v>Preview of settings and semantic nonvisual equivalents for danger, uncertainty, resources, law, relationships, and system status.</x:v>
      </x:c>
      <x:c r="G128" s="110" t="str">
        <x:v>Only observations, records, communications, and valid inferences in the active character's Knowledge Map.</x:v>
      </x:c>
      <x:c r="H128" s="110" t="str">
        <x:v>Engine-only truth; other actors' private knowledge, motives, and undisclosed records.</x:v>
      </x:c>
      <x:c r="I128" s="110" t="str">
        <x:v>Change live presentation without changing state; pause/skip decorative animation; access transcript/captions.</x:v>
      </x:c>
      <x:c r="J128" s="110" t="str">
        <x:v>No confirmation required for presentation-only settings.</x:v>
      </x:c>
      <x:c r="K128" s="110" t="str">
        <x:v>Layout reflows without clipping controls or hiding information.</x:v>
      </x:c>
      <x:c r="L128" s="110" t="str">
        <x:v>No critical status depends only on animation, sound, color, or fine texture.</x:v>
      </x:c>
      <x:c r="M128" s="110" t="str">
        <x:v>Show honest queued/loading/pending state; preserve the player's draft and current world version; do not imply completion.</x:v>
      </x:c>
      <x:c r="N128" s="110" t="str">
        <x:v>Stop or revalidate before commitment; identify the accessible state that changed; preserve intent; refresh the interpretation without leaking hidden causes.</x:v>
      </x:c>
      <x:c r="O128" s="110" t="str">
        <x:v>Event/record ID; campaign timestamp; state version; ruleset/tuning version where applicable; source/provenance; validator result; committed inputs and output.</x:v>
      </x:c>
      <x:c r="P128" s="110" t="str">
        <x:v>Keyboard and screen-reader operable; semantic status text; no hover, drag, motion, or color-only dependency; concise labels with expandable detail.</x:v>
      </x:c>
      <x:c r="Q128" s="110" t="str">
        <x:v>Settings &amp; Accessibility</x:v>
      </x:c>
      <x:c r="R128" s="110" t="str">
        <x:v>Living Stage</x:v>
      </x:c>
      <x:c r="S128" s="110" t="str">
        <x:v>Critical</x:v>
      </x:c>
      <x:c r="T128" s="110" t="str">
        <x:v>P0</x:v>
      </x:c>
      <x:c r="U128" s="110" t="str">
        <x:v>Covered</x:v>
      </x:c>
      <x:c r="V128" s="110" t="str"/>
      <x:c r="W128" s="110" t="str"/>
      <x:c r="X128" s="111" t="n">
        <x:f>COUNTA(K128:N128)/4</x:f>
        <x:v>1</x:v>
      </x:c>
      <x:c r="Y128" s="111" t="n">
        <x:f>COUNTA(F128:R128)/13</x:f>
        <x:v>1</x:v>
      </x:c>
      <x:c r="Z128" s="110" t="str">
        <x:f>IF(OR(U128="Gap",U128="Decision Required",S128="Critical",X128&lt;1,Y128&lt;1),"REVIEW","READY")</x:f>
        <x:v>REVIEW</x:v>
      </x:c>
    </x:row>
    <x:row r="129" ht="64" customHeight="1">
      <x:c r="A129" s="110" t="str">
        <x:v>ACC-005</x:v>
      </x:c>
      <x:c r="B129" s="110" t="str">
        <x:v>Accessibility, Settings &amp; Support</x:v>
      </x:c>
      <x:c r="C129" s="110" t="str">
        <x:v>Low-bandwidth and degraded-media mode</x:v>
      </x:c>
      <x:c r="D129" s="110" t="str">
        <x:v>Mythic_Superhero_RPG_World_Constitution_v1.md — Handoff Accessibility; UX/UI Foundation §6.4; §30 Asset Resilience</x:v>
      </x:c>
      <x:c r="E129" s="110" t="str">
        <x:v>Slow connection, disabled media, asset outage, or user preference.</x:v>
      </x:c>
      <x:c r="F129" s="110" t="str">
        <x:v>Text-first scene, semantic icons, simplified map, explicit deferred media, save/commit status, and accessible comic alternative.</x:v>
      </x:c>
      <x:c r="G129" s="110" t="str">
        <x:v>Only observations, records, communications, and valid inferences in the active character's Knowledge Map.</x:v>
      </x:c>
      <x:c r="H129" s="110" t="str">
        <x:v>Engine-only truth; other actors' private knowledge, motives, and undisclosed records.</x:v>
      </x:c>
      <x:c r="I129" s="110" t="str">
        <x:v>Play full core loop, request media later, download selectively, or stay text-first.</x:v>
      </x:c>
      <x:c r="J129" s="110" t="str">
        <x:v>No confirmation for presentation degradation; state-changing actions remain normal.</x:v>
      </x:c>
      <x:c r="K129" s="110" t="str">
        <x:v>Rich assets load progressively without blocking intent or canonical state.</x:v>
      </x:c>
      <x:c r="L129" s="110" t="str">
        <x:v>Media failure never appears as missing world state or blocks Issue #0 skip/summary.</x:v>
      </x:c>
      <x:c r="M129" s="110" t="str">
        <x:v>Show honest queued/loading/pending state; preserve the player's draft and current world version; do not imply completion.</x:v>
      </x:c>
      <x:c r="N129" s="110" t="str">
        <x:v>Stop or revalidate before commitment; identify the accessible state that changed; preserve intent; refresh the interpretation without leaking hidden causes.</x:v>
      </x:c>
      <x:c r="O129" s="110" t="str">
        <x:v>Event/record ID; campaign timestamp; state version; ruleset/tuning version where applicable; source/provenance; validator result; committed inputs and output.</x:v>
      </x:c>
      <x:c r="P129" s="110" t="str">
        <x:v>Keyboard and screen-reader operable; semantic status text; no hover, drag, motion, or color-only dependency; concise labels with expandable detail.</x:v>
      </x:c>
      <x:c r="Q129" s="110" t="str">
        <x:v>Support &amp; Recovery</x:v>
      </x:c>
      <x:c r="R129" s="110" t="str">
        <x:v>Settings &amp; Accessibility</x:v>
      </x:c>
      <x:c r="S129" s="110" t="str">
        <x:v>High</x:v>
      </x:c>
      <x:c r="T129" s="110" t="str">
        <x:v>P1</x:v>
      </x:c>
      <x:c r="U129" s="110" t="str">
        <x:v>Covered</x:v>
      </x:c>
      <x:c r="V129" s="110" t="str"/>
      <x:c r="W129" s="110" t="str"/>
      <x:c r="X129" s="111" t="n">
        <x:f>COUNTA(K129:N129)/4</x:f>
        <x:v>1</x:v>
      </x:c>
      <x:c r="Y129" s="111" t="n">
        <x:f>COUNTA(F129:R129)/13</x:f>
        <x:v>1</x:v>
      </x:c>
      <x:c r="Z129" s="110" t="str">
        <x:f>IF(OR(U129="Gap",U129="Decision Required",S129="Critical",X129&lt;1,Y129&lt;1),"REVIEW","READY")</x:f>
        <x:v>READY</x:v>
      </x:c>
    </x:row>
    <x:row r="130" ht="64" customHeight="1">
      <x:c r="A130" s="110" t="str">
        <x:v>ACC-006</x:v>
      </x:c>
      <x:c r="B130" s="110" t="str">
        <x:v>Accessibility, Settings &amp; Support</x:v>
      </x:c>
      <x:c r="C130" s="110" t="str">
        <x:v>Localization, glossary, Names, dialogue, and reading order</x:v>
      </x:c>
      <x:c r="D130" s="110" t="str">
        <x:v>Mythic_Superhero_RPG_World_Constitution_v1.md — §30 Accessibility and Localization; §32 Language Selection</x:v>
      </x:c>
      <x:c r="E130" s="110" t="str">
        <x:v>When the entity or event becomes relevant to the active viewpoint.</x:v>
      </x:c>
      <x:c r="F130" s="110" t="str">
        <x:v>Locale, glossary terms, locked Names/Epithets, transcript, translated lettering, supported reading order, and source language where permitted.</x:v>
      </x:c>
      <x:c r="G130" s="110" t="str">
        <x:v>Only observations, records, communications, and valid inferences in the active character's Knowledge Map.</x:v>
      </x:c>
      <x:c r="H130" s="110" t="str">
        <x:v>Translation cannot expose hidden classification or knowledge.</x:v>
      </x:c>
      <x:c r="I130" s="110" t="str">
        <x:v>Change locale, inspect glossary/original term, select reader orientation, or report ambiguity.</x:v>
      </x:c>
      <x:c r="J130" s="110" t="str">
        <x:v>No confirmation for presentation locale; character language ability remains separate game state.</x:v>
      </x:c>
      <x:c r="K130" s="110" t="str">
        <x:v>Meaning, promises, insults, facts, and outcomes remain stable across locale.</x:v>
      </x:c>
      <x:c r="L130" s="110" t="str">
        <x:v>Missing glyph/translation falls back visibly without altering canon.</x:v>
      </x:c>
      <x:c r="M130" s="110" t="str">
        <x:v>Show honest queued/loading/pending state; preserve the player's draft and current world version; do not imply completion.</x:v>
      </x:c>
      <x:c r="N130" s="110" t="str">
        <x:v>Stop or revalidate before commitment; identify the accessible state that changed; preserve intent; refresh the interpretation without leaking hidden causes.</x:v>
      </x:c>
      <x:c r="O130" s="110" t="str">
        <x:v>Event/record ID; campaign timestamp; state version; ruleset/tuning version where applicable; source/provenance; validator result; committed inputs and output.</x:v>
      </x:c>
      <x:c r="P130" s="110" t="str">
        <x:v>Keyboard and screen-reader operable; semantic status text; no hover, drag, motion, or color-only dependency; concise labels with expandable detail.</x:v>
      </x:c>
      <x:c r="Q130" s="110" t="str">
        <x:v>Settings &amp; Accessibility</x:v>
      </x:c>
      <x:c r="R130" s="110" t="str">
        <x:v>Comic Queue &amp; Library</x:v>
      </x:c>
      <x:c r="S130" s="110" t="str">
        <x:v>High</x:v>
      </x:c>
      <x:c r="T130" s="110" t="str">
        <x:v>P1</x:v>
      </x:c>
      <x:c r="U130" s="110" t="str">
        <x:v>Covered</x:v>
      </x:c>
      <x:c r="V130" s="110" t="str"/>
      <x:c r="W130" s="110" t="str"/>
      <x:c r="X130" s="111" t="n">
        <x:f>COUNTA(K130:N130)/4</x:f>
        <x:v>1</x:v>
      </x:c>
      <x:c r="Y130" s="111" t="n">
        <x:f>COUNTA(F130:R130)/13</x:f>
        <x:v>1</x:v>
      </x:c>
      <x:c r="Z130" s="110" t="str">
        <x:f>IF(OR(U130="Gap",U130="Decision Required",S130="Critical",X130&lt;1,Y130&lt;1),"REVIEW","READY")</x:f>
        <x:v>READY</x:v>
      </x:c>
    </x:row>
    <x:row r="131" ht="64" customHeight="1">
      <x:c r="A131" s="110" t="str">
        <x:v>BRK-001</x:v>
      </x:c>
      <x:c r="B131" s="110" t="str">
        <x:v>BREAKWATER Slice</x:v>
      </x:c>
      <x:c r="C131" s="110" t="str">
        <x:v>Day 0 world state, deadlines, tide, and civic emergency</x:v>
      </x:c>
      <x:c r="D131" s="110" t="str">
        <x:v>Mythic_Superhero_RPG_World_Constitution_v1.md — §31 Starting World State/Fronts</x:v>
      </x:c>
      <x:c r="E131" s="110" t="str">
        <x:v>Campaign Commit and every relevant Ledger Time advance.</x:v>
      </x:c>
      <x:c r="F131" s="110" t="str">
        <x:v>Day 0, 18:00 start; immediate sensory context; known alarm/surge; learned vote/launch/tide deadlines; weather and route implications.</x:v>
      </x:c>
      <x:c r="G131" s="110" t="str">
        <x:v>Only observations, records, communications, and valid inferences in the active character's Knowledge Map.</x:v>
      </x:c>
      <x:c r="H131" s="110" t="str">
        <x:v>Complete Anchor truth, exact Front clocks, and faction-private evidence.</x:v>
      </x:c>
      <x:c r="I131" s="110" t="str">
        <x:v>Investigate, rescue, exploit, publicize, ignore, leave, or pursue unrelated goal.</x:v>
      </x:c>
      <x:c r="J131" s="110" t="str">
        <x:v>Time compression through known deadlines is explicit.</x:v>
      </x:c>
      <x:c r="K131" s="110" t="str">
        <x:v>Deadlines and Fronts continue from actual triggers even if ignored.</x:v>
      </x:c>
      <x:c r="L131" s="110" t="str">
        <x:v>No event moves to the player's route because it was prepared.</x:v>
      </x:c>
      <x:c r="M131" s="110" t="str">
        <x:v>Show honest queued/loading/pending state; preserve the player's draft and current world version; do not imply completion.</x:v>
      </x:c>
      <x:c r="N131" s="110" t="str">
        <x:v>Stop or revalidate before commitment; identify the accessible state that changed; preserve intent; refresh the interpretation without leaking hidden causes.</x:v>
      </x:c>
      <x:c r="O131" s="110" t="str">
        <x:v>Event/record ID; campaign timestamp; state version; ruleset/tuning version where applicable; source/provenance; validator result; committed inputs and output.</x:v>
      </x:c>
      <x:c r="P131" s="110" t="str">
        <x:v>Keyboard and screen-reader operable; semantic status text; no hover, drag, motion, or color-only dependency; concise labels with expandable detail.</x:v>
      </x:c>
      <x:c r="Q131" s="110" t="str">
        <x:v>World Strip</x:v>
      </x:c>
      <x:c r="R131" s="110" t="str">
        <x:v>Factions &amp; Fronts</x:v>
      </x:c>
      <x:c r="S131" s="110" t="str">
        <x:v>Critical</x:v>
      </x:c>
      <x:c r="T131" s="110" t="str">
        <x:v>P0</x:v>
      </x:c>
      <x:c r="U131" s="110" t="str">
        <x:v>Covered</x:v>
      </x:c>
      <x:c r="V131" s="110" t="str"/>
      <x:c r="W131" s="110" t="str"/>
      <x:c r="X131" s="111" t="n">
        <x:f>COUNTA(K131:N131)/4</x:f>
        <x:v>1</x:v>
      </x:c>
      <x:c r="Y131" s="111" t="n">
        <x:f>COUNTA(F131:R131)/13</x:f>
        <x:v>1</x:v>
      </x:c>
      <x:c r="Z131" s="110" t="str">
        <x:f>IF(OR(U131="Gap",U131="Decision Required",S131="Critical",X131&lt;1,Y131&lt;1),"REVIEW","READY")</x:f>
        <x:v>REVIEW</x:v>
      </x:c>
    </x:row>
    <x:row r="132" ht="64" customHeight="1">
      <x:c r="A132" s="110" t="str">
        <x:v>BRK-002</x:v>
      </x:c>
      <x:c r="B132" s="110" t="str">
        <x:v>BREAKWATER Slice</x:v>
      </x:c>
      <x:c r="C132" s="110" t="str">
        <x:v>Hero, outlaw, and ordinary-survivor entry opportunities</x:v>
      </x:c>
      <x:c r="D132" s="110" t="str">
        <x:v>Mythic_Superhero_RPG_World_Constitution_v1.md — §31 Entry Modes; §32 Entering BREAKWATER</x:v>
      </x:c>
      <x:c r="E132" s="110" t="str">
        <x:v>When the entity or event becomes relevant to the active viewpoint.</x:v>
      </x:c>
      <x:c r="F132" s="110" t="str">
        <x:v>At least three immediate opportunities appropriate to entry plus prominent unrestricted intent.</x:v>
      </x:c>
      <x:c r="G132" s="110" t="str">
        <x:v>Only observations, records, communications, and valid inferences in the active character's Knowledge Map.</x:v>
      </x:c>
      <x:c r="H132" s="110" t="str">
        <x:v>No canonical “main quest,” moral default, or optimal lead.</x:v>
      </x:c>
      <x:c r="I132" s="110" t="str">
        <x:v>Follow, combine, exploit, attack a responder, contact someone else, leave city, or ignore all leads.</x:v>
      </x:c>
      <x:c r="J132" s="110" t="str">
        <x:v>Entry choice does not lock future morality/faction; Campaign Commit already confirmed character state.</x:v>
      </x:c>
      <x:c r="K132" s="110" t="str">
        <x:v>Each path has enough accessible novel XP to progress without prescribed role.</x:v>
      </x:c>
      <x:c r="L132" s="110" t="str">
        <x:v>Refusing all leads leaves world simulation active and player agency intact.</x:v>
      </x:c>
      <x:c r="M132" s="110" t="str">
        <x:v>Show honest queued/loading/pending state; preserve the player's draft and current world version; do not imply completion.</x:v>
      </x:c>
      <x:c r="N132" s="110" t="str">
        <x:v>Stop or revalidate before commitment; identify the accessible state that changed; preserve intent; refresh the interpretation without leaking hidden causes.</x:v>
      </x:c>
      <x:c r="O132" s="110" t="str">
        <x:v>Event/record ID; campaign timestamp; state version; ruleset/tuning version where applicable; source/provenance; validator result; committed inputs and output.</x:v>
      </x:c>
      <x:c r="P132" s="110" t="str">
        <x:v>Keyboard and screen-reader operable; semantic status text; no hover, drag, motion, or color-only dependency; concise labels with expandable detail.</x:v>
      </x:c>
      <x:c r="Q132" s="110" t="str">
        <x:v>Living Stage</x:v>
      </x:c>
      <x:c r="R132" s="110" t="str">
        <x:v>Intent Dock</x:v>
      </x:c>
      <x:c r="S132" s="110" t="str">
        <x:v>Critical</x:v>
      </x:c>
      <x:c r="T132" s="110" t="str">
        <x:v>P0</x:v>
      </x:c>
      <x:c r="U132" s="110" t="str">
        <x:v>Covered</x:v>
      </x:c>
      <x:c r="V132" s="110" t="str"/>
      <x:c r="W132" s="110" t="str"/>
      <x:c r="X132" s="111" t="n">
        <x:f>COUNTA(K132:N132)/4</x:f>
        <x:v>1</x:v>
      </x:c>
      <x:c r="Y132" s="111" t="n">
        <x:f>COUNTA(F132:R132)/13</x:f>
        <x:v>1</x:v>
      </x:c>
      <x:c r="Z132" s="110" t="str">
        <x:f>IF(OR(U132="Gap",U132="Decision Required",S132="Critical",X132&lt;1,Y132&lt;1),"REVIEW","READY")</x:f>
        <x:v>REVIEW</x:v>
      </x:c>
    </x:row>
    <x:row r="133" ht="64" customHeight="1">
      <x:c r="A133" s="110" t="str">
        <x:v>BRK-003</x:v>
      </x:c>
      <x:c r="B133" s="110" t="str">
        <x:v>BREAKWATER Slice</x:v>
      </x:c>
      <x:c r="C133" s="110" t="str">
        <x:v>Buoy Nine as Agency-3 Relic and civic absurdity</x:v>
      </x:c>
      <x:c r="D133" s="110" t="str">
        <x:v>Mythic_Superhero_RPG_World_Constitution_v1.md — §31 Companion Candidates/Relics</x:v>
      </x:c>
      <x:c r="E133" s="110" t="str">
        <x:v>When the entity or event becomes relevant to the active viewpoint.</x:v>
      </x:c>
      <x:c r="F133" s="110" t="str">
        <x:v>Fluorescent-orange municipal silhouette, actual public purpose, warning behavior, voice, damage, stated boundaries, Recognition/Bond events, and truthful/uncertain claims.</x:v>
      </x:c>
      <x:c r="G133" s="110" t="str">
        <x:v>Only observations, records, communications, and valid inferences in the active character's Knowledge Map.</x:v>
      </x:c>
      <x:c r="H133" s="110" t="str">
        <x:v>Private memories, lies, complete Anchor knowledge, and exact Bond by default.</x:v>
      </x:c>
      <x:c r="I133" s="110" t="str">
        <x:v>Listen, repair, defend, silence through valid action, negotiate, recruit, ignore, steal, or earn Recognition.</x:v>
      </x:c>
      <x:c r="J133" s="110" t="str">
        <x:v>Silencing/destruction/forced link carries normal material and relationship confirmation.</x:v>
      </x:c>
      <x:c r="K133" s="110" t="str">
        <x:v>Absurdity and civic function coexist with personhood and genuine mythic stakes.</x:v>
      </x:c>
      <x:c r="L133" s="110" t="str">
        <x:v>The UI never turns Buoy Nine into a mascot button or obedient quest marker.</x:v>
      </x:c>
      <x:c r="M133" s="110" t="str">
        <x:v>Show honest queued/loading/pending state; preserve the player's draft and current world version; do not imply completion.</x:v>
      </x:c>
      <x:c r="N133" s="110" t="str">
        <x:v>Stop or revalidate before commitment; identify the accessible state that changed; preserve intent; refresh the interpretation without leaking hidden causes.</x:v>
      </x:c>
      <x:c r="O133" s="110" t="str">
        <x:v>Event/record ID; campaign timestamp; state version; ruleset/tuning version where applicable; source/provenance; validator result; committed inputs and output.</x:v>
      </x:c>
      <x:c r="P133" s="110" t="str">
        <x:v>Keyboard and screen-reader operable; semantic status text; no hover, drag, motion, or color-only dependency; concise labels with expandable detail.</x:v>
      </x:c>
      <x:c r="Q133" s="110" t="str">
        <x:v>Relics &amp; Mythic Identity</x:v>
      </x:c>
      <x:c r="R133" s="110" t="str">
        <x:v>Living Stage</x:v>
      </x:c>
      <x:c r="S133" s="110" t="str">
        <x:v>Critical</x:v>
      </x:c>
      <x:c r="T133" s="110" t="str">
        <x:v>P0</x:v>
      </x:c>
      <x:c r="U133" s="110" t="str">
        <x:v>Covered</x:v>
      </x:c>
      <x:c r="V133" s="110" t="str"/>
      <x:c r="W133" s="110" t="str"/>
      <x:c r="X133" s="111" t="n">
        <x:f>COUNTA(K133:N133)/4</x:f>
        <x:v>1</x:v>
      </x:c>
      <x:c r="Y133" s="111" t="n">
        <x:f>COUNTA(F133:R133)/13</x:f>
        <x:v>1</x:v>
      </x:c>
      <x:c r="Z133" s="110" t="str">
        <x:f>IF(OR(U133="Gap",U133="Decision Required",S133="Critical",X133&lt;1,Y133&lt;1),"REVIEW","READY")</x:f>
        <x:v>REVIEW</x:v>
      </x:c>
    </x:row>
    <x:row r="134" ht="64" customHeight="1">
      <x:c r="A134" s="110" t="str">
        <x:v>BRK-004</x:v>
      </x:c>
      <x:c r="B134" s="110" t="str">
        <x:v>BREAKWATER Slice</x:v>
      </x:c>
      <x:c r="C134" s="110" t="str">
        <x:v>Districts, route graph, infrastructure damage, and Underchannel</x:v>
      </x:c>
      <x:c r="D134" s="110" t="str">
        <x:v>Mythic_Superhero_RPG_World_Constitution_v1.md — §31 Districts and Route Graph</x:v>
      </x:c>
      <x:c r="E134" s="110" t="str">
        <x:v>When the entity or event becomes relevant to the active viewpoint.</x:v>
      </x:c>
      <x:c r="F134" s="110" t="str">
        <x:v>Known eight-district geography, named sites, route states, water/road/rail/air/threshold modes, controls, closures, tolls, structural damage, and staleness.</x:v>
      </x:c>
      <x:c r="G134" s="110" t="str">
        <x:v>Only observations, records, communications, and valid inferences in the active character's Knowledge Map.</x:v>
      </x:c>
      <x:c r="H134" s="110" t="str">
        <x:v>Unknown Underchannel topology, secret control changes, and undiscovered hazards.</x:v>
      </x:c>
      <x:c r="I134" s="110" t="str">
        <x:v>Travel, repair, destroy, bypass, flood, reroute, claim, map, or leave region.</x:v>
      </x:c>
      <x:c r="J134" s="110" t="str">
        <x:v>Infrastructure destruction and known mass consequence require explicit intent.</x:v>
      </x:c>
      <x:c r="K134" s="110" t="str">
        <x:v>Graph changes mechanically when infrastructure changes.</x:v>
      </x:c>
      <x:c r="L134" s="110" t="str">
        <x:v>Map never shows cosmetic damage while route remains secretly unchanged or vice versa.</x:v>
      </x:c>
      <x:c r="M134" s="110" t="str">
        <x:v>Show honest queued/loading/pending state; preserve the player's draft and current world version; do not imply completion.</x:v>
      </x:c>
      <x:c r="N134" s="110" t="str">
        <x:v>Stop or revalidate before commitment; identify the accessible state that changed; preserve intent; refresh the interpretation without leaking hidden causes.</x:v>
      </x:c>
      <x:c r="O134" s="110" t="str">
        <x:v>Event/record ID; campaign timestamp; state version; ruleset/tuning version where applicable; source/provenance; validator result; committed inputs and output.</x:v>
      </x:c>
      <x:c r="P134" s="110" t="str">
        <x:v>Keyboard and screen-reader operable; semantic status text; no hover, drag, motion, or color-only dependency; concise labels with expandable detail.</x:v>
      </x:c>
      <x:c r="Q134" s="110" t="str">
        <x:v>World Map &amp; Knowledge Map</x:v>
      </x:c>
      <x:c r="R134" s="110" t="str">
        <x:v>Travel &amp; Survival</x:v>
      </x:c>
      <x:c r="S134" s="110" t="str">
        <x:v>Critical</x:v>
      </x:c>
      <x:c r="T134" s="110" t="str">
        <x:v>P0</x:v>
      </x:c>
      <x:c r="U134" s="110" t="str">
        <x:v>Covered</x:v>
      </x:c>
      <x:c r="V134" s="110" t="str"/>
      <x:c r="W134" s="110" t="str"/>
      <x:c r="X134" s="111" t="n">
        <x:f>COUNTA(K134:N134)/4</x:f>
        <x:v>1</x:v>
      </x:c>
      <x:c r="Y134" s="111" t="n">
        <x:f>COUNTA(F134:R134)/13</x:f>
        <x:v>1</x:v>
      </x:c>
      <x:c r="Z134" s="110" t="str">
        <x:f>IF(OR(U134="Gap",U134="Decision Required",S134="Critical",X134&lt;1,Y134&lt;1),"REVIEW","READY")</x:f>
        <x:v>REVIEW</x:v>
      </x:c>
    </x:row>
    <x:row r="135" ht="64" customHeight="1">
      <x:c r="A135" s="110" t="str">
        <x:v>BRK-005</x:v>
      </x:c>
      <x:c r="B135" s="110" t="str">
        <x:v>BREAKWATER Slice</x:v>
      </x:c>
      <x:c r="C135" s="110" t="str">
        <x:v>Seven factions, four Fronts, partial truths, and contradictory jurisdictions</x:v>
      </x:c>
      <x:c r="D135" s="110" t="str">
        <x:v>Mythic_Superhero_RPG_World_Constitution_v1.md — §31 Major Factions/Active Fronts</x:v>
      </x:c>
      <x:c r="E135" s="110" t="str">
        <x:v>When the entity or event becomes relevant to the active viewpoint.</x:v>
      </x:c>
      <x:c r="F135" s="110" t="str">
        <x:v>Only each encountered/learned faction's public aim, evidence, claims, accessible projects, relationships, law, and observed Front indicators.</x:v>
      </x:c>
      <x:c r="G135" s="110" t="str">
        <x:v>Only observations, records, communications, and valid inferences in the active character's Knowledge Map.</x:v>
      </x:c>
      <x:c r="H135" s="110" t="str">
        <x:v>Complete Thalassic Anchor truth and every faction's private/biased evidence state.</x:v>
      </x:c>
      <x:c r="I135" s="110" t="str">
        <x:v>Join, oppose, manipulate, expose, create coalition, change sides, join none, or accelerate a Front.</x:v>
      </x:c>
      <x:c r="J135" s="110" t="str">
        <x:v>Treaties, authority, custody, and deliberate Front acceleration use normal commitment.</x:v>
      </x:c>
      <x:c r="K135" s="110" t="str">
        <x:v>No faction is a moral answer; world continues on absence.</x:v>
      </x:c>
      <x:c r="L135" s="110" t="str">
        <x:v>No starting actor or UI summary receives complete truth.</x:v>
      </x:c>
      <x:c r="M135" s="110" t="str">
        <x:v>Show honest queued/loading/pending state; preserve the player's draft and current world version; do not imply completion.</x:v>
      </x:c>
      <x:c r="N135" s="110" t="str">
        <x:v>Stop or revalidate before commitment; identify the accessible state that changed; preserve intent; refresh the interpretation without leaking hidden causes.</x:v>
      </x:c>
      <x:c r="O135" s="110" t="str">
        <x:v>Event/record ID; campaign timestamp; state version; ruleset/tuning version where applicable; source/provenance; validator result; committed inputs and output.</x:v>
      </x:c>
      <x:c r="P135" s="110" t="str">
        <x:v>Keyboard and screen-reader operable; semantic status text; no hover, drag, motion, or color-only dependency; concise labels with expandable detail.</x:v>
      </x:c>
      <x:c r="Q135" s="110" t="str">
        <x:v>Factions &amp; Fronts</x:v>
      </x:c>
      <x:c r="R135" s="110" t="str">
        <x:v>Law &amp; Reputation</x:v>
      </x:c>
      <x:c r="S135" s="110" t="str">
        <x:v>Critical</x:v>
      </x:c>
      <x:c r="T135" s="110" t="str">
        <x:v>P0</x:v>
      </x:c>
      <x:c r="U135" s="110" t="str">
        <x:v>Gap</x:v>
      </x:c>
      <x:c r="V135" s="110" t="str">
        <x:v>GAP-003</x:v>
      </x:c>
      <x:c r="W135" s="110" t="str"/>
      <x:c r="X135" s="111" t="n">
        <x:f>COUNTA(K135:N135)/4</x:f>
        <x:v>1</x:v>
      </x:c>
      <x:c r="Y135" s="111" t="n">
        <x:f>COUNTA(F135:R135)/13</x:f>
        <x:v>1</x:v>
      </x:c>
      <x:c r="Z135" s="110" t="str">
        <x:f>IF(OR(U135="Gap",U135="Decision Required",S135="Critical",X135&lt;1,Y135&lt;1),"REVIEW","READY")</x:f>
        <x:v>REVIEW</x:v>
      </x:c>
    </x:row>
    <x:row r="136" ht="64" customHeight="1">
      <x:c r="A136" s="112" t="str">
        <x:v>BRK-006</x:v>
      </x:c>
      <x:c r="B136" s="112" t="str">
        <x:v>BREAKWATER Slice</x:v>
      </x:c>
      <x:c r="C136" s="112" t="str">
        <x:v>Four seeded procedural Sites and destructive persistence</x:v>
      </x:c>
      <x:c r="D136" s="112" t="str">
        <x:v>Mythic_Superhero_RPG_World_Constitution_v1.md — §31 Procedural Sites; §26 Site Rules</x:v>
      </x:c>
      <x:c r="E136" s="112" t="str">
        <x:v>When the entity or event becomes relevant to the active viewpoint.</x:v>
      </x:c>
      <x:c r="F136" s="112" t="str">
        <x:v>Discovered cells/routes, water/power/alarms, mapped areas, actors, items, evidence, damage, and last-known state.</x:v>
      </x:c>
      <x:c r="G136" s="112" t="str">
        <x:v>Only observations, records, communications, and valid inferences in the active character's Knowledge Map.</x:v>
      </x:c>
      <x:c r="H136" s="112" t="str">
        <x:v>Unvisited topology, hazards, contents, and actors.</x:v>
      </x:c>
      <x:c r="I136" s="112" t="str">
        <x:v>Explore, map, negotiate, destroy, seal, alter Lock, open routes, extract records, leave, or revisit.</x:v>
      </x:c>
      <x:c r="J136" s="112" t="str">
        <x:v>Site Seven demolition/sealing and other major destructive changes expose known evidence/Front/actor consequences.</x:v>
      </x:c>
      <x:c r="K136" s="112" t="str">
        <x:v>Seed and all alterations persist across reload, retreat, and protagonist change.</x:v>
      </x:c>
      <x:c r="L136" s="112" t="str">
        <x:v>No reroll on re-entry and no central-site dependency corrupts campaign continuation.</x:v>
      </x:c>
      <x:c r="M136" s="112" t="str">
        <x:v>Show honest queued/loading/pending state; preserve the player's draft and current world version; do not imply completion.</x:v>
      </x:c>
      <x:c r="N136" s="112" t="str">
        <x:v>Stop or revalidate before commitment; identify the accessible state that changed; preserve intent; refresh the interpretation without leaking hidden causes.</x:v>
      </x:c>
      <x:c r="O136" s="112" t="str">
        <x:v>Event/record ID; campaign timestamp; state version; ruleset/tuning version where applicable; source/provenance; validator result; committed inputs and output.</x:v>
      </x:c>
      <x:c r="P136" s="112" t="str">
        <x:v>Keyboard and screen-reader operable; semantic status text; no hover, drag, motion, or color-only dependency; concise labels with expandable detail.</x:v>
      </x:c>
      <x:c r="Q136" s="112" t="str">
        <x:v>Exploration &amp; Site Map</x:v>
      </x:c>
      <x:c r="R136" s="112" t="str">
        <x:v>Chronicle &amp; Audit</x:v>
      </x:c>
      <x:c r="S136" s="112" t="str">
        <x:v>Critical</x:v>
      </x:c>
      <x:c r="T136" s="112" t="str">
        <x:v>P0</x:v>
      </x:c>
      <x:c r="U136" s="112" t="str">
        <x:v>Covered</x:v>
      </x:c>
      <x:c r="V136" s="112" t="str"/>
      <x:c r="W136" s="112" t="str"/>
      <x:c r="X136" s="113" t="n">
        <x:f>COUNTA(K136:N136)/4</x:f>
        <x:v>1</x:v>
      </x:c>
      <x:c r="Y136" s="113" t="n">
        <x:f>COUNTA(F136:R136)/13</x:f>
        <x:v>1</x:v>
      </x:c>
      <x:c r="Z136" s="112" t="str">
        <x:f>IF(OR(U136="Gap",U136="Decision Required",S136="Critical",X136&lt;1,Y136&lt;1),"REVIEW","READY")</x:f>
        <x:v>REVIEW</x:v>
      </x:c>
    </x:row>
  </x:sheetData>
  <x:mergeCells>
    <x:mergeCell ref="A1:Z1"/>
    <x:mergeCell ref="A2:Z2"/>
    <x:mergeCell ref="A3:Z3"/>
  </x:mergeCells>
  <x:conditionalFormatting sqref="S6:S136">
    <x:cfRule type="containsText" dxfId="0" priority="1" operator="containsText" text="Critical"/>
    <x:cfRule type="containsText" dxfId="1" priority="2" operator="containsText" text="High"/>
  </x:conditionalFormatting>
  <x:conditionalFormatting sqref="U6:U136">
    <x:cfRule type="containsText" dxfId="2" priority="3" operator="containsText" text="Gap"/>
  </x:conditionalFormatting>
  <x:conditionalFormatting sqref="Z6:Z136">
    <x:cfRule type="containsText" dxfId="3" priority="4" operator="containsText" text="REVIEW"/>
    <x:cfRule type="containsText" dxfId="4" priority="5" operator="containsText" text="READY"/>
  </x:conditionalFormatting>
  <x:dataValidations count="3">
    <x:dataValidation type="list" sqref="S6:S136">
      <x:formula1>'Taxonomy'!$A$2:$A$5</x:formula1>
    </x:dataValidation>
    <x:dataValidation type="list" sqref="T6:T136">
      <x:formula1>'Taxonomy'!$C$2:$C$5</x:formula1>
    </x:dataValidation>
    <x:dataValidation type="list" sqref="U6:U136">
      <x:formula1>'Taxonomy'!$E$2:$E$6</x:formula1>
    </x:dataValidation>
  </x:dataValidations>
  <x:pageMargins left="0.7" right="0.7" top="0.75" bottom="0.75" header="0.3" footer="0.3"/>
  <x:tableParts count="1">
    <x:tablePart xmlns:r="http://schemas.openxmlformats.org/officeDocument/2006/relationships" r:id="R5f4e218d17874a0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68" hidden="0" customWidth="1"/>
    <x:col min="3" max="3" width="14" hidden="0" customWidth="1"/>
    <x:col min="4" max="4" width="16" hidden="0" customWidth="1"/>
    <x:col min="5" max="5" width="16" hidden="0" customWidth="1"/>
    <x:col min="6" max="6" width="18" hidden="0" customWidth="1"/>
    <x:col min="7" max="7" width="18" hidden="0" customWidth="1"/>
    <x:col min="8" max="8" width="20" hidden="0" customWidth="1"/>
  </x:cols>
  <x:sheetData>
    <x:row r="1">
      <x:c r="A1" s="114" t="str">
        <x:v>SURFACE COVERAGE</x:v>
      </x:c>
      <x:c r="B1" s="114"/>
      <x:c r="C1" s="114"/>
      <x:c r="D1" s="114"/>
      <x:c r="E1" s="114"/>
      <x:c r="F1" s="114"/>
      <x:c r="G1" s="114"/>
      <x:c r="H1" s="114"/>
    </x:row>
    <x:row r="2">
      <x:c r="A2" s="89"/>
      <x:c r="B2" s="89"/>
      <x:c r="C2" s="89"/>
      <x:c r="D2" s="89"/>
      <x:c r="E2" s="89"/>
      <x:c r="F2" s="89"/>
      <x:c r="G2" s="89"/>
      <x:c r="H2" s="89"/>
    </x:row>
    <x:row r="3">
      <x:c r="A3" s="115" t="str">
        <x:v>Surface</x:v>
      </x:c>
      <x:c r="B3" s="115" t="str">
        <x:v>Purpose</x:v>
      </x:c>
      <x:c r="C3" s="115" t="str">
        <x:v>Primary Rows</x:v>
      </x:c>
      <x:c r="D3" s="115" t="str">
        <x:v>Secondary Rows</x:v>
      </x:c>
      <x:c r="E3" s="115" t="str">
        <x:v>Total Mappings</x:v>
      </x:c>
      <x:c r="F3" s="115" t="str">
        <x:v>Critical Mappings</x:v>
      </x:c>
      <x:c r="G3" s="115" t="str">
        <x:v>Open-Gap Mappings</x:v>
      </x:c>
      <x:c r="H3" s="115" t="str">
        <x:v>Coverage Note</x:v>
      </x:c>
    </x:row>
    <x:row r="4" ht="34" customHeight="1">
      <x:c r="A4" s="116" t="str">
        <x:v>Home &amp; Recovery</x:v>
      </x:c>
      <x:c r="B4" s="116" t="str">
        <x:v>Campaign selection, save/reconnect, import/duplicate, recovery</x:v>
      </x:c>
      <x:c r="C4" s="116" t="n">
        <x:f>COUNTIF('Traceability'!$Q$6:$Q$136,A4)</x:f>
        <x:v>1</x:v>
      </x:c>
      <x:c r="D4" s="116" t="n">
        <x:f>COUNTIF('Traceability'!$R$6:$R$136,A4)</x:f>
        <x:v>1</x:v>
      </x:c>
      <x:c r="E4" s="116" t="n">
        <x:f>C4+D4</x:f>
        <x:v>2</x:v>
      </x:c>
      <x:c r="F4" s="116" t="n">
        <x:f>COUNTIFS('Traceability'!$Q$6:$Q$136,A4,'Traceability'!$S$6:$S$136,"Critical")+COUNTIFS('Traceability'!$R$6:$R$136,A4,'Traceability'!$S$6:$S$136,"Critical")</x:f>
        <x:v>2</x:v>
      </x:c>
      <x:c r="G4" s="116" t="n">
        <x:f>COUNTIFS('Traceability'!$Q$6:$Q$136,A4,'Traceability'!$U$6:$U$136,"Gap")+COUNTIFS('Traceability'!$R$6:$R$136,A4,'Traceability'!$U$6:$U$136,"Gap")</x:f>
        <x:v>1</x:v>
      </x:c>
      <x:c r="H4" s="116" t="str">
        <x:f>IF(E4=0,"UNMAPPED",IF(G4&gt;0,"HAS OPEN GAP","MAPPED"))</x:f>
        <x:v>HAS OPEN GAP</x:v>
      </x:c>
    </x:row>
    <x:row r="5" ht="34" customHeight="1">
      <x:c r="A5" s="117" t="str">
        <x:v>Onboarding &amp; Creation</x:v>
      </x:c>
      <x:c r="B5" s="117" t="str">
        <x:v>Issue #0 choices, creation modes, BP ledger, Campaign Commit</x:v>
      </x:c>
      <x:c r="C5" s="117" t="n">
        <x:f>COUNTIF('Traceability'!$Q$6:$Q$136,A5)</x:f>
        <x:v>7</x:v>
      </x:c>
      <x:c r="D5" s="117" t="n">
        <x:f>COUNTIF('Traceability'!$R$6:$R$136,A5)</x:f>
        <x:v>1</x:v>
      </x:c>
      <x:c r="E5" s="117" t="n">
        <x:f>C5+D5</x:f>
        <x:v>8</x:v>
      </x:c>
      <x:c r="F5" s="117" t="n">
        <x:f>COUNTIFS('Traceability'!$Q$6:$Q$136,A5,'Traceability'!$S$6:$S$136,"Critical")+COUNTIFS('Traceability'!$R$6:$R$136,A5,'Traceability'!$S$6:$S$136,"Critical")</x:f>
        <x:v>6</x:v>
      </x:c>
      <x:c r="G5" s="117" t="n">
        <x:f>COUNTIFS('Traceability'!$Q$6:$Q$136,A5,'Traceability'!$U$6:$U$136,"Gap")+COUNTIFS('Traceability'!$R$6:$R$136,A5,'Traceability'!$U$6:$U$136,"Gap")</x:f>
        <x:v>2</x:v>
      </x:c>
      <x:c r="H5" s="117" t="str">
        <x:f>IF(E5=0,"UNMAPPED",IF(G5&gt;0,"HAS OPEN GAP","MAPPED"))</x:f>
        <x:v>HAS OPEN GAP</x:v>
      </x:c>
    </x:row>
    <x:row r="6" ht="34" customHeight="1">
      <x:c r="A6" s="117" t="str">
        <x:v>Living Stage</x:v>
      </x:c>
      <x:c r="B6" s="117" t="str">
        <x:v>Current scene, dialogue, sensory context, responsive system emphasis</x:v>
      </x:c>
      <x:c r="C6" s="117" t="n">
        <x:f>COUNTIF('Traceability'!$Q$6:$Q$136,A6)</x:f>
        <x:v>7</x:v>
      </x:c>
      <x:c r="D6" s="117" t="n">
        <x:f>COUNTIF('Traceability'!$R$6:$R$136,A6)</x:f>
        <x:v>17</x:v>
      </x:c>
      <x:c r="E6" s="117" t="n">
        <x:f>C6+D6</x:f>
        <x:v>24</x:v>
      </x:c>
      <x:c r="F6" s="117" t="n">
        <x:f>COUNTIFS('Traceability'!$Q$6:$Q$136,A6,'Traceability'!$S$6:$S$136,"Critical")+COUNTIFS('Traceability'!$R$6:$R$136,A6,'Traceability'!$S$6:$S$136,"Critical")</x:f>
        <x:v>19</x:v>
      </x:c>
      <x:c r="G6" s="117" t="n">
        <x:f>COUNTIFS('Traceability'!$Q$6:$Q$136,A6,'Traceability'!$U$6:$U$136,"Gap")+COUNTIFS('Traceability'!$R$6:$R$136,A6,'Traceability'!$U$6:$U$136,"Gap")</x:f>
        <x:v>3</x:v>
      </x:c>
      <x:c r="H6" s="117" t="str">
        <x:f>IF(E6=0,"UNMAPPED",IF(G6&gt;0,"HAS OPEN GAP","MAPPED"))</x:f>
        <x:v>HAS OPEN GAP</x:v>
      </x:c>
    </x:row>
    <x:row r="7" ht="34" customHeight="1">
      <x:c r="A7" s="117" t="str">
        <x:v>Intent Dock</x:v>
      </x:c>
      <x:c r="B7" s="117" t="str">
        <x:v>Free intent, interpretation, correction, forecast, commit</x:v>
      </x:c>
      <x:c r="C7" s="117" t="n">
        <x:f>COUNTIF('Traceability'!$Q$6:$Q$136,A7)</x:f>
        <x:v>6</x:v>
      </x:c>
      <x:c r="D7" s="117" t="n">
        <x:f>COUNTIF('Traceability'!$R$6:$R$136,A7)</x:f>
        <x:v>9</x:v>
      </x:c>
      <x:c r="E7" s="117" t="n">
        <x:f>C7+D7</x:f>
        <x:v>15</x:v>
      </x:c>
      <x:c r="F7" s="117" t="n">
        <x:f>COUNTIFS('Traceability'!$Q$6:$Q$136,A7,'Traceability'!$S$6:$S$136,"Critical")+COUNTIFS('Traceability'!$R$6:$R$136,A7,'Traceability'!$S$6:$S$136,"Critical")</x:f>
        <x:v>12</x:v>
      </x:c>
      <x:c r="G7" s="117" t="n">
        <x:f>COUNTIFS('Traceability'!$Q$6:$Q$136,A7,'Traceability'!$U$6:$U$136,"Gap")+COUNTIFS('Traceability'!$R$6:$R$136,A7,'Traceability'!$U$6:$U$136,"Gap")</x:f>
        <x:v>5</x:v>
      </x:c>
      <x:c r="H7" s="117" t="str">
        <x:f>IF(E7=0,"UNMAPPED",IF(G7&gt;0,"HAS OPEN GAP","MAPPED"))</x:f>
        <x:v>HAS OPEN GAP</x:v>
      </x:c>
    </x:row>
    <x:row r="8" ht="34" customHeight="1">
      <x:c r="A8" s="117" t="str">
        <x:v>Context Lens</x:v>
      </x:c>
      <x:c r="B8" s="117" t="str">
        <x:v>People, objects, powers, evidence, routes, rules, comparisons</x:v>
      </x:c>
      <x:c r="C8" s="117" t="n">
        <x:f>COUNTIF('Traceability'!$Q$6:$Q$136,A8)</x:f>
        <x:v>4</x:v>
      </x:c>
      <x:c r="D8" s="117" t="n">
        <x:f>COUNTIF('Traceability'!$R$6:$R$136,A8)</x:f>
        <x:v>11</x:v>
      </x:c>
      <x:c r="E8" s="117" t="n">
        <x:f>C8+D8</x:f>
        <x:v>15</x:v>
      </x:c>
      <x:c r="F8" s="117" t="n">
        <x:f>COUNTIFS('Traceability'!$Q$6:$Q$136,A8,'Traceability'!$S$6:$S$136,"Critical")+COUNTIFS('Traceability'!$R$6:$R$136,A8,'Traceability'!$S$6:$S$136,"Critical")</x:f>
        <x:v>12</x:v>
      </x:c>
      <x:c r="G8" s="117" t="n">
        <x:f>COUNTIFS('Traceability'!$Q$6:$Q$136,A8,'Traceability'!$U$6:$U$136,"Gap")+COUNTIFS('Traceability'!$R$6:$R$136,A8,'Traceability'!$U$6:$U$136,"Gap")</x:f>
        <x:v>1</x:v>
      </x:c>
      <x:c r="H8" s="117" t="str">
        <x:f>IF(E8=0,"UNMAPPED",IF(G8&gt;0,"HAS OPEN GAP","MAPPED"))</x:f>
        <x:v>HAS OPEN GAP</x:v>
      </x:c>
    </x:row>
    <x:row r="9" ht="34" customHeight="1">
      <x:c r="A9" s="117" t="str">
        <x:v>Chronicle &amp; Audit</x:v>
      </x:c>
      <x:c r="B9" s="117" t="str">
        <x:v>Timestamped events, provenance, dialogue, formulas, validator-safe audit</x:v>
      </x:c>
      <x:c r="C9" s="117" t="n">
        <x:f>COUNTIF('Traceability'!$Q$6:$Q$136,A9)</x:f>
        <x:v>5</x:v>
      </x:c>
      <x:c r="D9" s="117" t="n">
        <x:f>COUNTIF('Traceability'!$R$6:$R$136,A9)</x:f>
        <x:v>21</x:v>
      </x:c>
      <x:c r="E9" s="117" t="n">
        <x:f>C9+D9</x:f>
        <x:v>26</x:v>
      </x:c>
      <x:c r="F9" s="117" t="n">
        <x:f>COUNTIFS('Traceability'!$Q$6:$Q$136,A9,'Traceability'!$S$6:$S$136,"Critical")+COUNTIFS('Traceability'!$R$6:$R$136,A9,'Traceability'!$S$6:$S$136,"Critical")</x:f>
        <x:v>19</x:v>
      </x:c>
      <x:c r="G9" s="117" t="n">
        <x:f>COUNTIFS('Traceability'!$Q$6:$Q$136,A9,'Traceability'!$U$6:$U$136,"Gap")+COUNTIFS('Traceability'!$R$6:$R$136,A9,'Traceability'!$U$6:$U$136,"Gap")</x:f>
        <x:v>7</x:v>
      </x:c>
      <x:c r="H9" s="117" t="str">
        <x:f>IF(E9=0,"UNMAPPED",IF(G9&gt;0,"HAS OPEN GAP","MAPPED"))</x:f>
        <x:v>HAS OPEN GAP</x:v>
      </x:c>
    </x:row>
    <x:row r="10" ht="34" customHeight="1">
      <x:c r="A10" s="117" t="str">
        <x:v>Character</x:v>
      </x:c>
      <x:c r="B10" s="117" t="str">
        <x:v>Resources, progression, powers, conditions, Drives, morality</x:v>
      </x:c>
      <x:c r="C10" s="117" t="n">
        <x:f>COUNTIF('Traceability'!$Q$6:$Q$136,A10)</x:f>
        <x:v>7</x:v>
      </x:c>
      <x:c r="D10" s="117" t="n">
        <x:f>COUNTIF('Traceability'!$R$6:$R$136,A10)</x:f>
        <x:v>12</x:v>
      </x:c>
      <x:c r="E10" s="117" t="n">
        <x:f>C10+D10</x:f>
        <x:v>19</x:v>
      </x:c>
      <x:c r="F10" s="117" t="n">
        <x:f>COUNTIFS('Traceability'!$Q$6:$Q$136,A10,'Traceability'!$S$6:$S$136,"Critical")+COUNTIFS('Traceability'!$R$6:$R$136,A10,'Traceability'!$S$6:$S$136,"Critical")</x:f>
        <x:v>11</x:v>
      </x:c>
      <x:c r="G10" s="117" t="n">
        <x:f>COUNTIFS('Traceability'!$Q$6:$Q$136,A10,'Traceability'!$U$6:$U$136,"Gap")+COUNTIFS('Traceability'!$R$6:$R$136,A10,'Traceability'!$U$6:$U$136,"Gap")</x:f>
        <x:v>1</x:v>
      </x:c>
      <x:c r="H10" s="117" t="str">
        <x:f>IF(E10=0,"UNMAPPED",IF(G10&gt;0,"HAS OPEN GAP","MAPPED"))</x:f>
        <x:v>HAS OPEN GAP</x:v>
      </x:c>
    </x:row>
    <x:row r="11" ht="34" customHeight="1">
      <x:c r="A11" s="117" t="str">
        <x:v>Party &amp; Relationships</x:v>
      </x:c>
      <x:c r="B11" s="117" t="str">
        <x:v>Roster, autonomy, terms, relationships, grievances, teams</x:v>
      </x:c>
      <x:c r="C11" s="117" t="n">
        <x:f>COUNTIF('Traceability'!$Q$6:$Q$136,A11)</x:f>
        <x:v>10</x:v>
      </x:c>
      <x:c r="D11" s="117" t="n">
        <x:f>COUNTIF('Traceability'!$R$6:$R$136,A11)</x:f>
        <x:v>3</x:v>
      </x:c>
      <x:c r="E11" s="117" t="n">
        <x:f>C11+D11</x:f>
        <x:v>13</x:v>
      </x:c>
      <x:c r="F11" s="117" t="n">
        <x:f>COUNTIFS('Traceability'!$Q$6:$Q$136,A11,'Traceability'!$S$6:$S$136,"Critical")+COUNTIFS('Traceability'!$R$6:$R$136,A11,'Traceability'!$S$6:$S$136,"Critical")</x:f>
        <x:v>9</x:v>
      </x:c>
      <x:c r="G11" s="117" t="n">
        <x:f>COUNTIFS('Traceability'!$Q$6:$Q$136,A11,'Traceability'!$U$6:$U$136,"Gap")+COUNTIFS('Traceability'!$R$6:$R$136,A11,'Traceability'!$U$6:$U$136,"Gap")</x:f>
        <x:v>3</x:v>
      </x:c>
      <x:c r="H11" s="117" t="str">
        <x:f>IF(E11=0,"UNMAPPED",IF(G11&gt;0,"HAS OPEN GAP","MAPPED"))</x:f>
        <x:v>HAS OPEN GAP</x:v>
      </x:c>
    </x:row>
    <x:row r="12" ht="34" customHeight="1">
      <x:c r="A12" s="117" t="str">
        <x:v>Relics &amp; Mythic Identity</x:v>
      </x:c>
      <x:c r="B12" s="117" t="str">
        <x:v>Relics, Bond, Attunement, Claims, Names, Mantles, Legacy</x:v>
      </x:c>
      <x:c r="C12" s="117" t="n">
        <x:f>COUNTIF('Traceability'!$Q$6:$Q$136,A12)</x:f>
        <x:v>10</x:v>
      </x:c>
      <x:c r="D12" s="117" t="n">
        <x:f>COUNTIF('Traceability'!$R$6:$R$136,A12)</x:f>
        <x:v>2</x:v>
      </x:c>
      <x:c r="E12" s="117" t="n">
        <x:f>C12+D12</x:f>
        <x:v>12</x:v>
      </x:c>
      <x:c r="F12" s="117" t="n">
        <x:f>COUNTIFS('Traceability'!$Q$6:$Q$136,A12,'Traceability'!$S$6:$S$136,"Critical")+COUNTIFS('Traceability'!$R$6:$R$136,A12,'Traceability'!$S$6:$S$136,"Critical")</x:f>
        <x:v>11</x:v>
      </x:c>
      <x:c r="G12" s="117" t="n">
        <x:f>COUNTIFS('Traceability'!$Q$6:$Q$136,A12,'Traceability'!$U$6:$U$136,"Gap")+COUNTIFS('Traceability'!$R$6:$R$136,A12,'Traceability'!$U$6:$U$136,"Gap")</x:f>
        <x:v>3</x:v>
      </x:c>
      <x:c r="H12" s="117" t="str">
        <x:f>IF(E12=0,"UNMAPPED",IF(G12&gt;0,"HAS OPEN GAP","MAPPED"))</x:f>
        <x:v>HAS OPEN GAP</x:v>
      </x:c>
    </x:row>
    <x:row r="13" ht="34" customHeight="1">
      <x:c r="A13" s="117" t="str">
        <x:v>Inventory &amp; Equipment</x:v>
      </x:c>
      <x:c r="B13" s="117" t="str">
        <x:v>Custody, load, equipment, ammo, economy, condition</x:v>
      </x:c>
      <x:c r="C13" s="117" t="n">
        <x:f>COUNTIF('Traceability'!$Q$6:$Q$136,A13)</x:f>
        <x:v>7</x:v>
      </x:c>
      <x:c r="D13" s="117" t="n">
        <x:f>COUNTIF('Traceability'!$R$6:$R$136,A13)</x:f>
        <x:v>4</x:v>
      </x:c>
      <x:c r="E13" s="117" t="n">
        <x:f>C13+D13</x:f>
        <x:v>11</x:v>
      </x:c>
      <x:c r="F13" s="117" t="n">
        <x:f>COUNTIFS('Traceability'!$Q$6:$Q$136,A13,'Traceability'!$S$6:$S$136,"Critical")+COUNTIFS('Traceability'!$R$6:$R$136,A13,'Traceability'!$S$6:$S$136,"Critical")</x:f>
        <x:v>4</x:v>
      </x:c>
      <x:c r="G13" s="117" t="n">
        <x:f>COUNTIFS('Traceability'!$Q$6:$Q$136,A13,'Traceability'!$U$6:$U$136,"Gap")+COUNTIFS('Traceability'!$R$6:$R$136,A13,'Traceability'!$U$6:$U$136,"Gap")</x:f>
        <x:v>0</x:v>
      </x:c>
      <x:c r="H13" s="117" t="str">
        <x:f>IF(E13=0,"UNMAPPED",IF(G13&gt;0,"HAS OPEN GAP","MAPPED"))</x:f>
        <x:v>MAPPED</x:v>
      </x:c>
    </x:row>
    <x:row r="14" ht="34" customHeight="1">
      <x:c r="A14" s="117" t="str">
        <x:v>Crafting &amp; Projects</x:v>
      </x:c>
      <x:c r="B14" s="117" t="str">
        <x:v>Fabrication, repair, modification, research, salvage</x:v>
      </x:c>
      <x:c r="C14" s="117" t="n">
        <x:f>COUNTIF('Traceability'!$Q$6:$Q$136,A14)</x:f>
        <x:v>2</x:v>
      </x:c>
      <x:c r="D14" s="117" t="n">
        <x:f>COUNTIF('Traceability'!$R$6:$R$136,A14)</x:f>
        <x:v>1</x:v>
      </x:c>
      <x:c r="E14" s="117" t="n">
        <x:f>C14+D14</x:f>
        <x:v>3</x:v>
      </x:c>
      <x:c r="F14" s="117" t="n">
        <x:f>COUNTIFS('Traceability'!$Q$6:$Q$136,A14,'Traceability'!$S$6:$S$136,"Critical")+COUNTIFS('Traceability'!$R$6:$R$136,A14,'Traceability'!$S$6:$S$136,"Critical")</x:f>
        <x:v>0</x:v>
      </x:c>
      <x:c r="G14" s="117" t="n">
        <x:f>COUNTIFS('Traceability'!$Q$6:$Q$136,A14,'Traceability'!$U$6:$U$136,"Gap")+COUNTIFS('Traceability'!$R$6:$R$136,A14,'Traceability'!$U$6:$U$136,"Gap")</x:f>
        <x:v>0</x:v>
      </x:c>
      <x:c r="H14" s="117" t="str">
        <x:f>IF(E14=0,"UNMAPPED",IF(G14&gt;0,"HAS OPEN GAP","MAPPED"))</x:f>
        <x:v>MAPPED</x:v>
      </x:c>
    </x:row>
    <x:row r="15" ht="34" customHeight="1">
      <x:c r="A15" s="117" t="str">
        <x:v>World Map &amp; Knowledge Map</x:v>
      </x:c>
      <x:c r="B15" s="117" t="str">
        <x:v>Known geography, uncertainty, routes, staleness</x:v>
      </x:c>
      <x:c r="C15" s="117" t="n">
        <x:f>COUNTIF('Traceability'!$Q$6:$Q$136,A15)</x:f>
        <x:v>4</x:v>
      </x:c>
      <x:c r="D15" s="117" t="n">
        <x:f>COUNTIF('Traceability'!$R$6:$R$136,A15)</x:f>
        <x:v>2</x:v>
      </x:c>
      <x:c r="E15" s="117" t="n">
        <x:f>C15+D15</x:f>
        <x:v>6</x:v>
      </x:c>
      <x:c r="F15" s="117" t="n">
        <x:f>COUNTIFS('Traceability'!$Q$6:$Q$136,A15,'Traceability'!$S$6:$S$136,"Critical")+COUNTIFS('Traceability'!$R$6:$R$136,A15,'Traceability'!$S$6:$S$136,"Critical")</x:f>
        <x:v>6</x:v>
      </x:c>
      <x:c r="G15" s="117" t="n">
        <x:f>COUNTIFS('Traceability'!$Q$6:$Q$136,A15,'Traceability'!$U$6:$U$136,"Gap")+COUNTIFS('Traceability'!$R$6:$R$136,A15,'Traceability'!$U$6:$U$136,"Gap")</x:f>
        <x:v>1</x:v>
      </x:c>
      <x:c r="H15" s="117" t="str">
        <x:f>IF(E15=0,"UNMAPPED",IF(G15&gt;0,"HAS OPEN GAP","MAPPED"))</x:f>
        <x:v>HAS OPEN GAP</x:v>
      </x:c>
    </x:row>
    <x:row r="16" ht="34" customHeight="1">
      <x:c r="A16" s="117" t="str">
        <x:v>Travel &amp; Survival</x:v>
      </x:c>
      <x:c r="B16" s="117" t="str">
        <x:v>Travel plans, roles, supplies, rest, camps, pursuits</x:v>
      </x:c>
      <x:c r="C16" s="117" t="n">
        <x:f>COUNTIF('Traceability'!$Q$6:$Q$136,A16)</x:f>
        <x:v>9</x:v>
      </x:c>
      <x:c r="D16" s="117" t="n">
        <x:f>COUNTIF('Traceability'!$R$6:$R$136,A16)</x:f>
        <x:v>4</x:v>
      </x:c>
      <x:c r="E16" s="117" t="n">
        <x:f>C16+D16</x:f>
        <x:v>13</x:v>
      </x:c>
      <x:c r="F16" s="117" t="n">
        <x:f>COUNTIFS('Traceability'!$Q$6:$Q$136,A16,'Traceability'!$S$6:$S$136,"Critical")+COUNTIFS('Traceability'!$R$6:$R$136,A16,'Traceability'!$S$6:$S$136,"Critical")</x:f>
        <x:v>4</x:v>
      </x:c>
      <x:c r="G16" s="117" t="n">
        <x:f>COUNTIFS('Traceability'!$Q$6:$Q$136,A16,'Traceability'!$U$6:$U$136,"Gap")+COUNTIFS('Traceability'!$R$6:$R$136,A16,'Traceability'!$U$6:$U$136,"Gap")</x:f>
        <x:v>0</x:v>
      </x:c>
      <x:c r="H16" s="117" t="str">
        <x:f>IF(E16=0,"UNMAPPED",IF(G16&gt;0,"HAS OPEN GAP","MAPPED"))</x:f>
        <x:v>MAPPED</x:v>
      </x:c>
    </x:row>
    <x:row r="17" ht="34" customHeight="1">
      <x:c r="A17" s="117" t="str">
        <x:v>Exploration &amp; Site Map</x:v>
      </x:c>
      <x:c r="B17" s="117" t="str">
        <x:v>Zones, Connections, searches, fog, persistent topology</x:v>
      </x:c>
      <x:c r="C17" s="117" t="n">
        <x:f>COUNTIF('Traceability'!$Q$6:$Q$136,A17)</x:f>
        <x:v>8</x:v>
      </x:c>
      <x:c r="D17" s="117" t="n">
        <x:f>COUNTIF('Traceability'!$R$6:$R$136,A17)</x:f>
        <x:v>4</x:v>
      </x:c>
      <x:c r="E17" s="117" t="n">
        <x:f>C17+D17</x:f>
        <x:v>12</x:v>
      </x:c>
      <x:c r="F17" s="117" t="n">
        <x:f>COUNTIFS('Traceability'!$Q$6:$Q$136,A17,'Traceability'!$S$6:$S$136,"Critical")+COUNTIFS('Traceability'!$R$6:$R$136,A17,'Traceability'!$S$6:$S$136,"Critical")</x:f>
        <x:v>10</x:v>
      </x:c>
      <x:c r="G17" s="117" t="n">
        <x:f>COUNTIFS('Traceability'!$Q$6:$Q$136,A17,'Traceability'!$U$6:$U$136,"Gap")+COUNTIFS('Traceability'!$R$6:$R$136,A17,'Traceability'!$U$6:$U$136,"Gap")</x:f>
        <x:v>1</x:v>
      </x:c>
      <x:c r="H17" s="117" t="str">
        <x:f>IF(E17=0,"UNMAPPED",IF(G17&gt;0,"HAS OPEN GAP","MAPPED"))</x:f>
        <x:v>HAS OPEN GAP</x:v>
      </x:c>
    </x:row>
    <x:row r="18" ht="34" customHeight="1">
      <x:c r="A18" s="117" t="str">
        <x:v>Case Graph &amp; Evidence</x:v>
      </x:c>
      <x:c r="B18" s="117" t="str">
        <x:v>Questions, Claims, evidence, witnesses, analysis, chain</x:v>
      </x:c>
      <x:c r="C18" s="117" t="n">
        <x:f>COUNTIF('Traceability'!$Q$6:$Q$136,A18)</x:f>
        <x:v>4</x:v>
      </x:c>
      <x:c r="D18" s="117" t="n">
        <x:f>COUNTIF('Traceability'!$R$6:$R$136,A18)</x:f>
        <x:v>2</x:v>
      </x:c>
      <x:c r="E18" s="117" t="n">
        <x:f>C18+D18</x:f>
        <x:v>6</x:v>
      </x:c>
      <x:c r="F18" s="117" t="n">
        <x:f>COUNTIFS('Traceability'!$Q$6:$Q$136,A18,'Traceability'!$S$6:$S$136,"Critical")+COUNTIFS('Traceability'!$R$6:$R$136,A18,'Traceability'!$S$6:$S$136,"Critical")</x:f>
        <x:v>5</x:v>
      </x:c>
      <x:c r="G18" s="117" t="n">
        <x:f>COUNTIFS('Traceability'!$Q$6:$Q$136,A18,'Traceability'!$U$6:$U$136,"Gap")+COUNTIFS('Traceability'!$R$6:$R$136,A18,'Traceability'!$U$6:$U$136,"Gap")</x:f>
        <x:v>0</x:v>
      </x:c>
      <x:c r="H18" s="117" t="str">
        <x:f>IF(E18=0,"UNMAPPED",IF(G18&gt;0,"HAS OPEN GAP","MAPPED"))</x:f>
        <x:v>MAPPED</x:v>
      </x:c>
    </x:row>
    <x:row r="19" ht="34" customHeight="1">
      <x:c r="A19" s="117" t="str">
        <x:v>Factions &amp; Fronts</x:v>
      </x:c>
      <x:c r="B19" s="117" t="str">
        <x:v>Known factions, projects, Front indicators, off-screen consequences</x:v>
      </x:c>
      <x:c r="C19" s="117" t="n">
        <x:f>COUNTIF('Traceability'!$Q$6:$Q$136,A19)</x:f>
        <x:v>5</x:v>
      </x:c>
      <x:c r="D19" s="117" t="n">
        <x:f>COUNTIF('Traceability'!$R$6:$R$136,A19)</x:f>
        <x:v>4</x:v>
      </x:c>
      <x:c r="E19" s="117" t="n">
        <x:f>C19+D19</x:f>
        <x:v>9</x:v>
      </x:c>
      <x:c r="F19" s="117" t="n">
        <x:f>COUNTIFS('Traceability'!$Q$6:$Q$136,A19,'Traceability'!$S$6:$S$136,"Critical")+COUNTIFS('Traceability'!$R$6:$R$136,A19,'Traceability'!$S$6:$S$136,"Critical")</x:f>
        <x:v>8</x:v>
      </x:c>
      <x:c r="G19" s="117" t="n">
        <x:f>COUNTIFS('Traceability'!$Q$6:$Q$136,A19,'Traceability'!$U$6:$U$136,"Gap")+COUNTIFS('Traceability'!$R$6:$R$136,A19,'Traceability'!$U$6:$U$136,"Gap")</x:f>
        <x:v>3</x:v>
      </x:c>
      <x:c r="H19" s="117" t="str">
        <x:f>IF(E19=0,"UNMAPPED",IF(G19&gt;0,"HAS OPEN GAP","MAPPED"))</x:f>
        <x:v>HAS OPEN GAP</x:v>
      </x:c>
    </x:row>
    <x:row r="20" ht="34" customHeight="1">
      <x:c r="A20" s="117" t="str">
        <x:v>Law &amp; Reputation</x:v>
      </x:c>
      <x:c r="B20" s="117" t="str">
        <x:v>Jurisdiction, evidence, Heat, Exposure, warrants, audience reputation</x:v>
      </x:c>
      <x:c r="C20" s="117" t="n">
        <x:f>COUNTIF('Traceability'!$Q$6:$Q$136,A20)</x:f>
        <x:v>4</x:v>
      </x:c>
      <x:c r="D20" s="117" t="n">
        <x:f>COUNTIF('Traceability'!$R$6:$R$136,A20)</x:f>
        <x:v>10</x:v>
      </x:c>
      <x:c r="E20" s="117" t="n">
        <x:f>C20+D20</x:f>
        <x:v>14</x:v>
      </x:c>
      <x:c r="F20" s="117" t="n">
        <x:f>COUNTIFS('Traceability'!$Q$6:$Q$136,A20,'Traceability'!$S$6:$S$136,"Critical")+COUNTIFS('Traceability'!$R$6:$R$136,A20,'Traceability'!$S$6:$S$136,"Critical")</x:f>
        <x:v>11</x:v>
      </x:c>
      <x:c r="G20" s="117" t="n">
        <x:f>COUNTIFS('Traceability'!$Q$6:$Q$136,A20,'Traceability'!$U$6:$U$136,"Gap")+COUNTIFS('Traceability'!$R$6:$R$136,A20,'Traceability'!$U$6:$U$136,"Gap")</x:f>
        <x:v>1</x:v>
      </x:c>
      <x:c r="H20" s="117" t="str">
        <x:f>IF(E20=0,"UNMAPPED",IF(G20&gt;0,"HAS OPEN GAP","MAPPED"))</x:f>
        <x:v>HAS OPEN GAP</x:v>
      </x:c>
    </x:row>
    <x:row r="21" ht="34" customHeight="1">
      <x:c r="A21" s="117" t="str">
        <x:v>Immediate Danger</x:v>
      </x:c>
      <x:c r="B21" s="117" t="str">
        <x:v>Initiative, position, actions, reactions, hazards, defeat</x:v>
      </x:c>
      <x:c r="C21" s="117" t="n">
        <x:f>COUNTIF('Traceability'!$Q$6:$Q$136,A21)</x:f>
        <x:v>9</x:v>
      </x:c>
      <x:c r="D21" s="117" t="n">
        <x:f>COUNTIF('Traceability'!$R$6:$R$136,A21)</x:f>
        <x:v>6</x:v>
      </x:c>
      <x:c r="E21" s="117" t="n">
        <x:f>C21+D21</x:f>
        <x:v>15</x:v>
      </x:c>
      <x:c r="F21" s="117" t="n">
        <x:f>COUNTIFS('Traceability'!$Q$6:$Q$136,A21,'Traceability'!$S$6:$S$136,"Critical")+COUNTIFS('Traceability'!$R$6:$R$136,A21,'Traceability'!$S$6:$S$136,"Critical")</x:f>
        <x:v>12</x:v>
      </x:c>
      <x:c r="G21" s="117" t="n">
        <x:f>COUNTIFS('Traceability'!$Q$6:$Q$136,A21,'Traceability'!$U$6:$U$136,"Gap")+COUNTIFS('Traceability'!$R$6:$R$136,A21,'Traceability'!$U$6:$U$136,"Gap")</x:f>
        <x:v>1</x:v>
      </x:c>
      <x:c r="H21" s="117" t="str">
        <x:f>IF(E21=0,"UNMAPPED",IF(G21&gt;0,"HAS OPEN GAP","MAPPED"))</x:f>
        <x:v>HAS OPEN GAP</x:v>
      </x:c>
    </x:row>
    <x:row r="22" ht="34" customHeight="1">
      <x:c r="A22" s="117" t="str">
        <x:v>Death &amp; Continuation</x:v>
      </x:c>
      <x:c r="B22" s="117" t="str">
        <x:v>Dying, capture, afterlife, resurrection, succession</x:v>
      </x:c>
      <x:c r="C22" s="117" t="n">
        <x:f>COUNTIF('Traceability'!$Q$6:$Q$136,A22)</x:f>
        <x:v>4</x:v>
      </x:c>
      <x:c r="D22" s="117" t="n">
        <x:f>COUNTIF('Traceability'!$R$6:$R$136,A22)</x:f>
        <x:v>1</x:v>
      </x:c>
      <x:c r="E22" s="117" t="n">
        <x:f>C22+D22</x:f>
        <x:v>5</x:v>
      </x:c>
      <x:c r="F22" s="117" t="n">
        <x:f>COUNTIFS('Traceability'!$Q$6:$Q$136,A22,'Traceability'!$S$6:$S$136,"Critical")+COUNTIFS('Traceability'!$R$6:$R$136,A22,'Traceability'!$S$6:$S$136,"Critical")</x:f>
        <x:v>5</x:v>
      </x:c>
      <x:c r="G22" s="117" t="n">
        <x:f>COUNTIFS('Traceability'!$Q$6:$Q$136,A22,'Traceability'!$U$6:$U$136,"Gap")+COUNTIFS('Traceability'!$R$6:$R$136,A22,'Traceability'!$U$6:$U$136,"Gap")</x:f>
        <x:v>0</x:v>
      </x:c>
      <x:c r="H22" s="117" t="str">
        <x:f>IF(E22=0,"UNMAPPED",IF(G22&gt;0,"HAS OPEN GAP","MAPPED"))</x:f>
        <x:v>MAPPED</x:v>
      </x:c>
    </x:row>
    <x:row r="23" ht="34" customHeight="1">
      <x:c r="A23" s="117" t="str">
        <x:v>Comic Queue &amp; Library</x:v>
      </x:c>
      <x:c r="B23" s="117" t="str">
        <x:v>Capture, Source Lock, queue, issues, reader, editor, editions</x:v>
      </x:c>
      <x:c r="C23" s="117" t="n">
        <x:f>COUNTIF('Traceability'!$Q$6:$Q$136,A23)</x:f>
        <x:v>7</x:v>
      </x:c>
      <x:c r="D23" s="117" t="n">
        <x:f>COUNTIF('Traceability'!$R$6:$R$136,A23)</x:f>
        <x:v>3</x:v>
      </x:c>
      <x:c r="E23" s="117" t="n">
        <x:f>C23+D23</x:f>
        <x:v>10</x:v>
      </x:c>
      <x:c r="F23" s="117" t="n">
        <x:f>COUNTIFS('Traceability'!$Q$6:$Q$136,A23,'Traceability'!$S$6:$S$136,"Critical")+COUNTIFS('Traceability'!$R$6:$R$136,A23,'Traceability'!$S$6:$S$136,"Critical")</x:f>
        <x:v>7</x:v>
      </x:c>
      <x:c r="G23" s="117" t="n">
        <x:f>COUNTIFS('Traceability'!$Q$6:$Q$136,A23,'Traceability'!$U$6:$U$136,"Gap")+COUNTIFS('Traceability'!$R$6:$R$136,A23,'Traceability'!$U$6:$U$136,"Gap")</x:f>
        <x:v>3</x:v>
      </x:c>
      <x:c r="H23" s="117" t="str">
        <x:f>IF(E23=0,"UNMAPPED",IF(G23&gt;0,"HAS OPEN GAP","MAPPED"))</x:f>
        <x:v>HAS OPEN GAP</x:v>
      </x:c>
    </x:row>
    <x:row r="24" ht="34" customHeight="1">
      <x:c r="A24" s="117" t="str">
        <x:v>Settings &amp; Accessibility</x:v>
      </x:c>
      <x:c r="B24" s="117" t="str">
        <x:v>Content controls, input, explanation, contrast, locale</x:v>
      </x:c>
      <x:c r="C24" s="117" t="n">
        <x:f>COUNTIF('Traceability'!$Q$6:$Q$136,A24)</x:f>
        <x:v>5</x:v>
      </x:c>
      <x:c r="D24" s="117" t="n">
        <x:f>COUNTIF('Traceability'!$R$6:$R$136,A24)</x:f>
        <x:v>4</x:v>
      </x:c>
      <x:c r="E24" s="117" t="n">
        <x:f>C24+D24</x:f>
        <x:v>9</x:v>
      </x:c>
      <x:c r="F24" s="117" t="n">
        <x:f>COUNTIFS('Traceability'!$Q$6:$Q$136,A24,'Traceability'!$S$6:$S$136,"Critical")+COUNTIFS('Traceability'!$R$6:$R$136,A24,'Traceability'!$S$6:$S$136,"Critical")</x:f>
        <x:v>5</x:v>
      </x:c>
      <x:c r="G24" s="117" t="n">
        <x:f>COUNTIFS('Traceability'!$Q$6:$Q$136,A24,'Traceability'!$U$6:$U$136,"Gap")+COUNTIFS('Traceability'!$R$6:$R$136,A24,'Traceability'!$U$6:$U$136,"Gap")</x:f>
        <x:v>3</x:v>
      </x:c>
      <x:c r="H24" s="117" t="str">
        <x:f>IF(E24=0,"UNMAPPED",IF(G24&gt;0,"HAS OPEN GAP","MAPPED"))</x:f>
        <x:v>HAS OPEN GAP</x:v>
      </x:c>
    </x:row>
    <x:row r="25" ht="34" customHeight="1">
      <x:c r="A25" s="117" t="str">
        <x:v>Support &amp; Recovery</x:v>
      </x:c>
      <x:c r="B25" s="117" t="str">
        <x:v>Connection, provider failure, blocked jobs, conflict recovery</x:v>
      </x:c>
      <x:c r="C25" s="117" t="n">
        <x:f>COUNTIF('Traceability'!$Q$6:$Q$136,A25)</x:f>
        <x:v>2</x:v>
      </x:c>
      <x:c r="D25" s="117" t="n">
        <x:f>COUNTIF('Traceability'!$R$6:$R$136,A25)</x:f>
        <x:v>5</x:v>
      </x:c>
      <x:c r="E25" s="117" t="n">
        <x:f>C25+D25</x:f>
        <x:v>7</x:v>
      </x:c>
      <x:c r="F25" s="117" t="n">
        <x:f>COUNTIFS('Traceability'!$Q$6:$Q$136,A25,'Traceability'!$S$6:$S$136,"Critical")+COUNTIFS('Traceability'!$R$6:$R$136,A25,'Traceability'!$S$6:$S$136,"Critical")</x:f>
        <x:v>5</x:v>
      </x:c>
      <x:c r="G25" s="117" t="n">
        <x:f>COUNTIFS('Traceability'!$Q$6:$Q$136,A25,'Traceability'!$U$6:$U$136,"Gap")+COUNTIFS('Traceability'!$R$6:$R$136,A25,'Traceability'!$U$6:$U$136,"Gap")</x:f>
        <x:v>3</x:v>
      </x:c>
      <x:c r="H25" s="117" t="str">
        <x:f>IF(E25=0,"UNMAPPED",IF(G25&gt;0,"HAS OPEN GAP","MAPPED"))</x:f>
        <x:v>HAS OPEN GAP</x:v>
      </x:c>
    </x:row>
    <x:row r="26" ht="34" customHeight="1">
      <x:c r="A26" s="118" t="str">
        <x:v>World Strip</x:v>
      </x:c>
      <x:c r="B26" s="118" t="str">
        <x:v>Viewpoint, time, location/uncertainty, danger, save, comic status</x:v>
      </x:c>
      <x:c r="C26" s="118" t="n">
        <x:f>COUNTIF('Traceability'!$Q$6:$Q$136,A26)</x:f>
        <x:v>4</x:v>
      </x:c>
      <x:c r="D26" s="118" t="n">
        <x:f>COUNTIF('Traceability'!$R$6:$R$136,A26)</x:f>
        <x:v>4</x:v>
      </x:c>
      <x:c r="E26" s="118" t="n">
        <x:f>C26+D26</x:f>
        <x:v>8</x:v>
      </x:c>
      <x:c r="F26" s="118" t="n">
        <x:f>COUNTIFS('Traceability'!$Q$6:$Q$136,A26,'Traceability'!$S$6:$S$136,"Critical")+COUNTIFS('Traceability'!$R$6:$R$136,A26,'Traceability'!$S$6:$S$136,"Critical")</x:f>
        <x:v>5</x:v>
      </x:c>
      <x:c r="G26" s="118" t="n">
        <x:f>COUNTIFS('Traceability'!$Q$6:$Q$136,A26,'Traceability'!$U$6:$U$136,"Gap")+COUNTIFS('Traceability'!$R$6:$R$136,A26,'Traceability'!$U$6:$U$136,"Gap")</x:f>
        <x:v>2</x:v>
      </x:c>
      <x:c r="H26" s="118" t="str">
        <x:f>IF(E26=0,"UNMAPPED",IF(G26&gt;0,"HAS OPEN GAP","MAPPED"))</x:f>
        <x:v>HAS OPEN GAP</x:v>
      </x:c>
    </x:row>
  </x:sheetData>
  <x:mergeCells>
    <x:mergeCell ref="A1:H1"/>
  </x:mergeCells>
  <x:conditionalFormatting sqref="H4:H26">
    <x:cfRule type="containsText" dxfId="7" priority="1" operator="containsText" text="HAS OPEN GAP"/>
    <x:cfRule type="containsText" dxfId="8" priority="2" operator="containsText" text="MAPPED"/>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13" hidden="0" customWidth="1"/>
    <x:col min="4" max="4" width="20" hidden="0" customWidth="1"/>
    <x:col min="5" max="5" width="24" hidden="0" customWidth="1"/>
    <x:col min="6" max="6" width="28" hidden="0" customWidth="1"/>
    <x:col min="7" max="7" width="46" hidden="0" customWidth="1"/>
    <x:col min="8" max="8" width="48" hidden="0" customWidth="1"/>
    <x:col min="9" max="9" width="28" hidden="0" customWidth="1"/>
    <x:col min="10" max="10" width="40" hidden="0" customWidth="1"/>
  </x:cols>
  <x:sheetData>
    <x:row r="1">
      <x:c r="A1" s="114" t="str">
        <x:v>SPECIFICATION GAP REGISTER</x:v>
      </x:c>
      <x:c r="B1" s="114"/>
      <x:c r="C1" s="114"/>
      <x:c r="D1" s="114"/>
      <x:c r="E1" s="114"/>
      <x:c r="F1" s="114"/>
      <x:c r="G1" s="114"/>
      <x:c r="H1" s="114"/>
      <x:c r="I1" s="114"/>
      <x:c r="J1" s="114"/>
    </x:row>
    <x:row r="2">
      <x:c r="A2" s="119" t="str">
        <x:v>Gaps identify real UX decisions. They do not authorize silent mechanic changes.</x:v>
      </x:c>
      <x:c r="B2" s="119"/>
      <x:c r="C2" s="119"/>
      <x:c r="D2" s="119"/>
      <x:c r="E2" s="119"/>
      <x:c r="F2" s="119"/>
      <x:c r="G2" s="119"/>
      <x:c r="H2" s="119"/>
      <x:c r="I2" s="119"/>
      <x:c r="J2" s="119"/>
    </x:row>
    <x:row r="3">
      <x:c r="A3" s="89"/>
      <x:c r="B3" s="89"/>
      <x:c r="C3" s="89"/>
      <x:c r="D3" s="89"/>
      <x:c r="E3" s="89"/>
      <x:c r="F3" s="89"/>
      <x:c r="G3" s="89"/>
      <x:c r="H3" s="89"/>
      <x:c r="I3" s="89"/>
      <x:c r="J3" s="89"/>
    </x:row>
    <x:row r="4">
      <x:c r="A4" s="115" t="str">
        <x:v>Gap ID</x:v>
      </x:c>
      <x:c r="B4" s="115" t="str">
        <x:v>Gap</x:v>
      </x:c>
      <x:c r="C4" s="115" t="str">
        <x:v>Severity</x:v>
      </x:c>
      <x:c r="D4" s="115" t="str">
        <x:v>Status</x:v>
      </x:c>
      <x:c r="E4" s="115" t="str">
        <x:v>Domain</x:v>
      </x:c>
      <x:c r="F4" s="115" t="str">
        <x:v>Linked Requirements</x:v>
      </x:c>
      <x:c r="G4" s="115" t="str">
        <x:v>Decision Needed</x:v>
      </x:c>
      <x:c r="H4" s="115" t="str">
        <x:v>Recommended Design Work</x:v>
      </x:c>
      <x:c r="I4" s="115" t="str">
        <x:v>Constitution Source</x:v>
      </x:c>
      <x:c r="J4" s="115" t="str">
        <x:v>Guardrail</x:v>
      </x:c>
    </x:row>
    <x:row r="5" ht="72" customHeight="1">
      <x:c r="A5" s="116" t="str">
        <x:v>GAP-001</x:v>
      </x:c>
      <x:c r="B5" s="116" t="str">
        <x:v>Actor-safe rejection detail taxonomy</x:v>
      </x:c>
      <x:c r="C5" s="116" t="str">
        <x:v>Critical</x:v>
      </x:c>
      <x:c r="D5" s="116" t="str">
        <x:v>Open</x:v>
      </x:c>
      <x:c r="E5" s="116" t="str">
        <x:v>Foundation &amp; Agency; Agents</x:v>
      </x:c>
      <x:c r="F5" s="116" t="str">
        <x:v>FND-004, AGT-004, AGT-006</x:v>
      </x:c>
      <x:c r="G5" s="116" t="str">
        <x:v>Define which validator details may be shown to the player/actor for every rejection family without leaking hidden truth.</x:v>
      </x:c>
      <x:c r="H5" s="116" t="str">
        <x:v>Create a redaction matrix in Core Interaction Spec; pair public reason codes with private developer diagnostics.</x:v>
      </x:c>
      <x:c r="I5" s="116" t="str">
        <x:v>§29 Validation/Replanning</x:v>
      </x:c>
      <x:c r="J5" s="116" t="str">
        <x:v>Do not solve by returning generic failure text or raw validator output.</x:v>
      </x:c>
    </x:row>
    <x:row r="6" ht="72" customHeight="1">
      <x:c r="A6" s="117" t="str">
        <x:v>GAP-002</x:v>
      </x:c>
      <x:c r="B6" s="117" t="str">
        <x:v>Exact versus banded spatial presentation rule</x:v>
      </x:c>
      <x:c r="C6" s="117" t="str">
        <x:v>High</x:v>
      </x:c>
      <x:c r="D6" s="117" t="str">
        <x:v>Open</x:v>
      </x:c>
      <x:c r="E6" s="117" t="str">
        <x:v>Combat; Exploration</x:v>
      </x:c>
      <x:c r="F6" s="117" t="str">
        <x:v>COM-005</x:v>
      </x:c>
      <x:c r="G6" s="117" t="str">
        <x:v>Define when UI shows exact spaces, range bands, diagram, or prose—and how all views stay backed by one spatial state.</x:v>
      </x:c>
      <x:c r="H6" s="117" t="str">
        <x:v>Prototype three representative scenes after Phase 2; lock switching and accessibility rules before combat wireframes.</x:v>
      </x:c>
      <x:c r="I6" s="117" t="str">
        <x:v>§15 Position/Range; §26 Tactical Geometry</x:v>
      </x:c>
      <x:c r="J6" s="117" t="str">
        <x:v>Do not let presentation change legal geometry.</x:v>
      </x:c>
    </x:row>
    <x:row r="7" ht="72" customHeight="1">
      <x:c r="A7" s="117" t="str">
        <x:v>GAP-003</x:v>
      </x:c>
      <x:c r="B7" s="117" t="str">
        <x:v>Evidence-based Front visibility</x:v>
      </x:c>
      <x:c r="C7" s="117" t="str">
        <x:v>Critical</x:v>
      </x:c>
      <x:c r="D7" s="117" t="str">
        <x:v>Open</x:v>
      </x:c>
      <x:c r="E7" s="117" t="str">
        <x:v>World; BREAKWATER</x:v>
      </x:c>
      <x:c r="F7" s="117" t="str">
        <x:v>WLD-003, BRK-005</x:v>
      </x:c>
      <x:c r="G7" s="117" t="str">
        <x:v>Define the player-facing rubric for latent/emerging/crisis indicators without exposing omniscient clock values.</x:v>
      </x:c>
      <x:c r="H7" s="117" t="str">
        <x:v>Map evidence/packets to qualitative states, confidence, source, and last verification; exact clocks only through authorized records.</x:v>
      </x:c>
      <x:c r="I7" s="117" t="str">
        <x:v>§28 Fronts; §31 Active Fronts</x:v>
      </x:c>
      <x:c r="J7" s="117" t="str">
        <x:v>Do not display universal progress bars.</x:v>
      </x:c>
    </x:row>
    <x:row r="8" ht="72" customHeight="1">
      <x:c r="A8" s="117" t="str">
        <x:v>GAP-004</x:v>
      </x:c>
      <x:c r="B8" s="117" t="str">
        <x:v>Relationship and Relic numerical disclosure defaults</x:v>
      </x:c>
      <x:c r="C8" s="117" t="str">
        <x:v>High</x:v>
      </x:c>
      <x:c r="D8" s="117" t="str">
        <x:v>Open</x:v>
      </x:c>
      <x:c r="E8" s="117" t="str">
        <x:v>Party; Relics</x:v>
      </x:c>
      <x:c r="F8" s="117" t="str">
        <x:v>REL-002, REL-003, PTY-001</x:v>
      </x:c>
      <x:c r="G8" s="117" t="str">
        <x:v>Decide when exact Bond/relationship values are visible, developer-only, or translated into qualitative observable states.</x:v>
      </x:c>
      <x:c r="H8" s="117" t="str">
        <x:v>Default to qualitative state plus supporting events; allow exact values only through expert preference if it does not imply forbidden knowledge.</x:v>
      </x:c>
      <x:c r="I8" s="117" t="str">
        <x:v>§22 Bond; §27 Relationships</x:v>
      </x:c>
      <x:c r="J8" s="117" t="str">
        <x:v>Do not turn people into affection meters.</x:v>
      </x:c>
    </x:row>
    <x:row r="9" ht="72" customHeight="1">
      <x:c r="A9" s="117" t="str">
        <x:v>GAP-005</x:v>
      </x:c>
      <x:c r="B9" s="117" t="str">
        <x:v>Off-screen notification aggregation and urgency</x:v>
      </x:c>
      <x:c r="C9" s="117" t="str">
        <x:v>High</x:v>
      </x:c>
      <x:c r="D9" s="117" t="str">
        <x:v>Open</x:v>
      </x:c>
      <x:c r="E9" s="117" t="str">
        <x:v>Time; Party; World</x:v>
      </x:c>
      <x:c r="F9" s="117" t="str">
        <x:v>TIM-004, PTY-008</x:v>
      </x:c>
      <x:c r="G9" s="117" t="str">
        <x:v>Define grouping, interruption, urgency, and catch-up presentation for many off-screen events while preserving information boundaries.</x:v>
      </x:c>
      <x:c r="H9" s="117" t="str">
        <x:v>Use causal digest with timestamp, source, urgency, action-required state, and unread/access status; never summarize uncommunicated facts.</x:v>
      </x:c>
      <x:c r="I9" s="117" t="str">
        <x:v>§27 Split Parties; §28 Simulation</x:v>
      </x:c>
      <x:c r="J9" s="117" t="str">
        <x:v>Avoid notification spam and omniscient summaries.</x:v>
      </x:c>
    </x:row>
    <x:row r="10" ht="72" customHeight="1">
      <x:c r="A10" s="117" t="str">
        <x:v>GAP-006</x:v>
      </x:c>
      <x:c r="B10" s="117" t="str">
        <x:v>Stale proposal rebase and renewed-confirmation threshold</x:v>
      </x:c>
      <x:c r="C10" s="117" t="str">
        <x:v>Critical</x:v>
      </x:c>
      <x:c r="D10" s="117" t="str">
        <x:v>Open</x:v>
      </x:c>
      <x:c r="E10" s="117" t="str">
        <x:v>Time; Intent</x:v>
      </x:c>
      <x:c r="F10" s="117" t="str">
        <x:v>TIM-006</x:v>
      </x:c>
      <x:c r="G10" s="117" t="str">
        <x:v>Define which irrelevant changes may auto-rebase and which accessible changes require player review/confirmation.</x:v>
      </x:c>
      <x:c r="H10" s="117" t="str">
        <x:v>Classify by target, cost, risk, timing, location, permission, knowledge, and consequence delta.</x:v>
      </x:c>
      <x:c r="I10" s="117" t="str">
        <x:v>§29 Context and Concurrency</x:v>
      </x:c>
      <x:c r="J10" s="117" t="str">
        <x:v>No silent material rebase.</x:v>
      </x:c>
    </x:row>
    <x:row r="11" ht="72" customHeight="1">
      <x:c r="A11" s="117" t="str">
        <x:v>GAP-007</x:v>
      </x:c>
      <x:c r="B11" s="117" t="str">
        <x:v>Agent-latency and paused-simulation presentation</x:v>
      </x:c>
      <x:c r="C11" s="117" t="str">
        <x:v>Medium</x:v>
      </x:c>
      <x:c r="D11" s="117" t="str">
        <x:v>Open</x:v>
      </x:c>
      <x:c r="E11" s="117" t="str">
        <x:v>Agents; World Strip</x:v>
      </x:c>
      <x:c r="F11" s="117" t="str">
        <x:v>AGT-003</x:v>
      </x:c>
      <x:c r="G11" s="117" t="str">
        <x:v>Define how pending mandatory activations, optional dialogue, and unrelated legal actions are distinguished during latency.</x:v>
      </x:c>
      <x:c r="H11" s="117" t="str">
        <x:v>Use nonblocking pending states where causally safe; explicitly show when Ledger Time is paused at a dependency.</x:v>
      </x:c>
      <x:c r="I11" s="117" t="str">
        <x:v>§29 Activation Budgets</x:v>
      </x:c>
      <x:c r="J11" s="117" t="str">
        <x:v>Compute affects waiting time, never outcome.</x:v>
      </x:c>
    </x:row>
    <x:row r="12" ht="72" customHeight="1">
      <x:c r="A12" s="117" t="str">
        <x:v>GAP-008</x:v>
      </x:c>
      <x:c r="B12" s="117" t="str">
        <x:v>Comic progress granularity and estimate policy</x:v>
      </x:c>
      <x:c r="C12" s="117" t="str">
        <x:v>Medium</x:v>
      </x:c>
      <x:c r="D12" s="117" t="str">
        <x:v>Open</x:v>
      </x:c>
      <x:c r="E12" s="117" t="str">
        <x:v>Comic Queue</x:v>
      </x:c>
      <x:c r="F12" s="117" t="str">
        <x:v>CMC-003</x:v>
      </x:c>
      <x:c r="G12" s="117" t="str">
        <x:v>Define stage granularity, when estimates may appear, and how to avoid implying real-time issue completion.</x:v>
      </x:c>
      <x:c r="H12" s="117" t="str">
        <x:v>Show durable stage/checkpoint by default; show estimates only from reliable queue data with range and no promise language.</x:v>
      </x:c>
      <x:c r="I12" s="117" t="str">
        <x:v>§30 Background Queue</x:v>
      </x:c>
      <x:c r="J12" s="117" t="str">
        <x:v>Partial assets remain hidden by default.</x:v>
      </x:c>
    </x:row>
    <x:row r="13" ht="72" customHeight="1">
      <x:c r="A13" s="117" t="str">
        <x:v>GAP-009</x:v>
      </x:c>
      <x:c r="B13" s="117" t="str">
        <x:v>WIP review opt-in and spoiler boundary</x:v>
      </x:c>
      <x:c r="C13" s="117" t="str">
        <x:v>High</x:v>
      </x:c>
      <x:c r="D13" s="117" t="str">
        <x:v>Open</x:v>
      </x:c>
      <x:c r="E13" s="117" t="str">
        <x:v>Comic Editor</x:v>
      </x:c>
      <x:c r="F13" s="117" t="str">
        <x:v>CMC-006</x:v>
      </x:c>
      <x:c r="G13" s="117" t="str">
        <x:v>Define who can enable WIP, which stages/assets become visible, and which reader ceiling applies.</x:v>
      </x:c>
      <x:c r="H13" s="117" t="str">
        <x:v>Require explicit opt-in per campaign/profile; preserve Source Lock and Reader Knowledge Ceiling in every preview.</x:v>
      </x:c>
      <x:c r="I13" s="117" t="str">
        <x:v>§30 WIP Review/Editor</x:v>
      </x:c>
      <x:c r="J13" s="117" t="str">
        <x:v>Invalid art never becomes canon.</x:v>
      </x:c>
    </x:row>
    <x:row r="14" ht="72" customHeight="1">
      <x:c r="A14" s="117" t="str">
        <x:v>GAP-010</x:v>
      </x:c>
      <x:c r="B14" s="117" t="str">
        <x:v>Content-boundary conflict after Campaign Commit</x:v>
      </x:c>
      <x:c r="C14" s="117" t="str">
        <x:v>Critical</x:v>
      </x:c>
      <x:c r="D14" s="117" t="str">
        <x:v>Open</x:v>
      </x:c>
      <x:c r="E14" s="117" t="str">
        <x:v>Accessibility/Content</x:v>
      </x:c>
      <x:c r="F14" s="117" t="str">
        <x:v>ACC-001</x:v>
      </x:c>
      <x:c r="G14" s="117" t="str">
        <x:v>Constitution defines premise conflict before commit but not the UX procedure when later emergent content reaches a Line.</x:v>
      </x:c>
      <x:c r="H14" s="117" t="str">
        <x:v>Design a prospective rerouting/escalation protocol that preserves mechanics and player agency without silently rewriting prior canon.</x:v>
      </x:c>
      <x:c r="I14" s="117" t="str">
        <x:v>§32 Content Controls</x:v>
      </x:c>
      <x:c r="J14" s="117" t="str">
        <x:v>Requires product-owner approval; do not infer sensitive settings.</x:v>
      </x:c>
    </x:row>
    <x:row r="15" ht="72" customHeight="1">
      <x:c r="A15" s="117" t="str">
        <x:v>GAP-011</x:v>
      </x:c>
      <x:c r="B15" s="117" t="str">
        <x:v>Compulsion, possession, panic, and remaining legal choices</x:v>
      </x:c>
      <x:c r="C15" s="117" t="str">
        <x:v>Critical</x:v>
      </x:c>
      <x:c r="D15" s="117" t="str">
        <x:v>Open</x:v>
      </x:c>
      <x:c r="E15" s="117" t="str">
        <x:v>Character Agency</x:v>
      </x:c>
      <x:c r="F15" s="117" t="str">
        <x:v>REL-006, COM-008</x:v>
      </x:c>
      <x:c r="G15" s="117" t="str">
        <x:v>Define the exact presentation of constrained actions so the player understands prohibited/required choices without losing general control.</x:v>
      </x:c>
      <x:c r="H15" s="117" t="str">
        <x:v>Create a constraint card listing source, instruction/prohibition, duration, resistance, remaining choices, and provenance.</x:v>
      </x:c>
      <x:c r="I15" s="117" t="str">
        <x:v>§18 Mental Conditions; §29 Player Agency</x:v>
      </x:c>
      <x:c r="J15" s="117" t="str">
        <x:v>Never let narration take general control.</x:v>
      </x:c>
    </x:row>
    <x:row r="16" ht="72" customHeight="1">
      <x:c r="A16" s="117" t="str">
        <x:v>GAP-012</x:v>
      </x:c>
      <x:c r="B16" s="117" t="str">
        <x:v>Manual/external dice canonical record policy</x:v>
      </x:c>
      <x:c r="C16" s="117" t="str">
        <x:v>High</x:v>
      </x:c>
      <x:c r="D16" s="117" t="str">
        <x:v>Open</x:v>
      </x:c>
      <x:c r="E16" s="117" t="str">
        <x:v>Resolution; Settings</x:v>
      </x:c>
      <x:c r="F16" s="117" t="str">
        <x:v>FND-007, ACC-002</x:v>
      </x:c>
      <x:c r="G16" s="117" t="str">
        <x:v>Define trust, entry, verification, correction, and replay treatment for manually entered or externally rolled dice.</x:v>
      </x:c>
      <x:c r="H16" s="117" t="str">
        <x:v>Separate campaign policy from accessibility; record source, entered result, confirmation, and any correction event.</x:v>
      </x:c>
      <x:c r="I16" s="117" t="str">
        <x:v>§7 Roll Record; §32 Profile</x:v>
      </x:c>
      <x:c r="J16" s="117" t="str">
        <x:v>Must not create silent odds differences.</x:v>
      </x:c>
    </x:row>
    <x:row r="17" ht="72" customHeight="1">
      <x:c r="A17" s="117" t="str">
        <x:v>GAP-013</x:v>
      </x:c>
      <x:c r="B17" s="117" t="str">
        <x:v>Mobile capability-parity scope</x:v>
      </x:c>
      <x:c r="C17" s="117" t="str">
        <x:v>Medium</x:v>
      </x:c>
      <x:c r="D17" s="117" t="str">
        <x:v>Deferred</x:v>
      </x:c>
      <x:c r="E17" s="117" t="str">
        <x:v>Responsive</x:v>
      </x:c>
      <x:c r="F17" s="117" t="str"/>
      <x:c r="G17" s="117" t="str">
        <x:v>Desktop browser is primary, but later mobile minimums and unavailable dense views need explicit definition.</x:v>
      </x:c>
      <x:c r="H17" s="117" t="str">
        <x:v>Resolve during responsive IA after desktop flows are approved.</x:v>
      </x:c>
      <x:c r="I17" s="117" t="str">
        <x:v>UX-003; Handoff Phase 1</x:v>
      </x:c>
      <x:c r="J17" s="117" t="str">
        <x:v>Do not constrain desktop foundation prematurely.</x:v>
      </x:c>
    </x:row>
    <x:row r="18" ht="72" customHeight="1">
      <x:c r="A18" s="117" t="str">
        <x:v>GAP-014</x:v>
      </x:c>
      <x:c r="B18" s="117" t="str">
        <x:v>Save conflict, rollback, and unknown-commit recovery</x:v>
      </x:c>
      <x:c r="C18" s="117" t="str">
        <x:v>Critical</x:v>
      </x:c>
      <x:c r="D18" s="117" t="str">
        <x:v>Open</x:v>
      </x:c>
      <x:c r="E18" s="117" t="str">
        <x:v>Save/Recovery</x:v>
      </x:c>
      <x:c r="F18" s="117" t="str">
        <x:v>TIM-005</x:v>
      </x:c>
      <x:c r="G18" s="117" t="str">
        <x:v>Define UX for transport timeout where commit status is unknown, corrupted snapshot, cross-device conflict, and branch recovery.</x:v>
      </x:c>
      <x:c r="H18" s="117" t="str">
        <x:v>Use idempotency lookup first; distinguish committed/uncommitted/unknown; never invite duplicate retry until resolved.</x:v>
      </x:c>
      <x:c r="I18" s="117" t="str">
        <x:v>§29 Idempotency/Failure; §32 Saving</x:v>
      </x:c>
      <x:c r="J18" s="117" t="str">
        <x:v>No destructive rollback without confirmation.</x:v>
      </x:c>
    </x:row>
    <x:row r="19" ht="72" customHeight="1">
      <x:c r="A19" s="117" t="str">
        <x:v>GAP-015</x:v>
      </x:c>
      <x:c r="B19" s="117" t="str">
        <x:v>Meaningful-choice definition and onboarding telemetry</x:v>
      </x:c>
      <x:c r="C19" s="117" t="str">
        <x:v>Medium</x:v>
      </x:c>
      <x:c r="D19" s="117" t="str">
        <x:v>Open</x:v>
      </x:c>
      <x:c r="E19" s="117" t="str">
        <x:v>Onboarding</x:v>
      </x:c>
      <x:c r="F19" s="117" t="str">
        <x:v>CHR-001</x:v>
      </x:c>
      <x:c r="G19" s="117" t="str">
        <x:v>Define measurable meaningful choice without rewarding fake buttons or collecting gameplay-altering analytics.</x:v>
      </x:c>
      <x:c r="H19" s="117" t="str">
        <x:v>Count a free-intent, entry, creation, content, or approach decision that materially changes subsequent state/presentation.</x:v>
      </x:c>
      <x:c r="I19" s="117" t="str">
        <x:v>§32 Acceptance Gates</x:v>
      </x:c>
      <x:c r="J19" s="117" t="str">
        <x:v>Analytics must not alter play.</x:v>
      </x:c>
    </x:row>
    <x:row r="20" ht="72" customHeight="1">
      <x:c r="A20" s="117" t="str">
        <x:v>GAP-016</x:v>
      </x:c>
      <x:c r="B20" s="117" t="str">
        <x:v>Comic correction and edition-history interaction</x:v>
      </x:c>
      <x:c r="C20" s="117" t="str">
        <x:v>High</x:v>
      </x:c>
      <x:c r="D20" s="117" t="str">
        <x:v>Open</x:v>
      </x:c>
      <x:c r="E20" s="117" t="str">
        <x:v>Comic Library/Editor</x:v>
      </x:c>
      <x:c r="F20" s="117" t="str">
        <x:v>CMC-008</x:v>
      </x:c>
      <x:c r="G20" s="117" t="str">
        <x:v>Define comparison, correction request, approval, supersession, and in-world/out-of-world edition distinction.</x:v>
      </x:c>
      <x:c r="H20" s="117" t="str">
        <x:v>Design edition timeline with immutable source range and changed-asset manifest.</x:v>
      </x:c>
      <x:c r="I20" s="117" t="str">
        <x:v>§30 Asset Provenance/Editor</x:v>
      </x:c>
      <x:c r="J20" s="117" t="str">
        <x:v>Never silently replace published pages.</x:v>
      </x:c>
    </x:row>
    <x:row r="21" ht="72" customHeight="1">
      <x:c r="A21" s="117" t="str">
        <x:v>GAP-R01</x:v>
      </x:c>
      <x:c r="B21" s="117" t="str">
        <x:v>Closed-browser campaign time</x:v>
      </x:c>
      <x:c r="C21" s="117" t="str">
        <x:v>Critical</x:v>
      </x:c>
      <x:c r="D21" s="117" t="str">
        <x:v>Resolved in v0.1A</x:v>
      </x:c>
      <x:c r="E21" s="117" t="str">
        <x:v>Time</x:v>
      </x:c>
      <x:c r="F21" s="117" t="str">
        <x:v>TIM-001</x:v>
      </x:c>
      <x:c r="G21" s="117" t="str">
        <x:v>Whether real-world absence advances campaign time.</x:v>
      </x:c>
      <x:c r="H21" s="117" t="str">
        <x:v>Ledger Time approved: no direct real-time mapping.</x:v>
      </x:c>
      <x:c r="I21" s="117" t="str">
        <x:v>UX-001</x:v>
      </x:c>
      <x:c r="J21" s="117" t="str">
        <x:v>Locked in Foundation v0.1A.</x:v>
      </x:c>
    </x:row>
    <x:row r="22" ht="72" customHeight="1">
      <x:c r="A22" s="117" t="str">
        <x:v>GAP-R02</x:v>
      </x:c>
      <x:c r="B22" s="117" t="str">
        <x:v>Primary workspace model</x:v>
      </x:c>
      <x:c r="C22" s="117" t="str">
        <x:v>Critical</x:v>
      </x:c>
      <x:c r="D22" s="117" t="str">
        <x:v>Resolved in v0.1A</x:v>
      </x:c>
      <x:c r="E22" s="117" t="str">
        <x:v>Shell</x:v>
      </x:c>
      <x:c r="F22" s="117" t="str">
        <x:v>FND-001</x:v>
      </x:c>
      <x:c r="G22" s="117" t="str">
        <x:v>Whether product is chat, split dashboard, document, or adaptive stage.</x:v>
      </x:c>
      <x:c r="H22" s="117" t="str">
        <x:v>Adaptive Living World Stage approved.</x:v>
      </x:c>
      <x:c r="I22" s="117" t="str">
        <x:v>UX-002</x:v>
      </x:c>
      <x:c r="J22" s="117" t="str">
        <x:v>Locked in Foundation v0.1A.</x:v>
      </x:c>
    </x:row>
    <x:row r="23" ht="72" customHeight="1">
      <x:c r="A23" s="118" t="str">
        <x:v>GAP-R03</x:v>
      </x:c>
      <x:c r="B23" s="118" t="str">
        <x:v>Primary device target</x:v>
      </x:c>
      <x:c r="C23" s="118" t="str">
        <x:v>High</x:v>
      </x:c>
      <x:c r="D23" s="118" t="str">
        <x:v>Resolved in v0.1A</x:v>
      </x:c>
      <x:c r="E23" s="118" t="str">
        <x:v>Responsive</x:v>
      </x:c>
      <x:c r="F23" s="118" t="str"/>
      <x:c r="G23" s="118" t="str">
        <x:v>Reference target and density priority.</x:v>
      </x:c>
      <x:c r="H23" s="118" t="str">
        <x:v>Desktop browser first approved.</x:v>
      </x:c>
      <x:c r="I23" s="118" t="str">
        <x:v>UX-003</x:v>
      </x:c>
      <x:c r="J23" s="118" t="str">
        <x:v>Locked in Foundation v0.1A.</x:v>
      </x:c>
    </x:row>
  </x:sheetData>
  <x:mergeCells>
    <x:mergeCell ref="A1:J1"/>
    <x:mergeCell ref="A2:J2"/>
  </x:mergeCells>
  <x:conditionalFormatting sqref="D5:D23">
    <x:cfRule type="containsText" dxfId="5" priority="1" operator="containsText" text="Open"/>
    <x:cfRule type="containsText" dxfId="6" priority="2" operator="containsText" text="Resolved"/>
  </x:conditionalFormatting>
  <x:dataValidations count="2">
    <x:dataValidation type="list" sqref="C5:C23">
      <x:formula1>'Taxonomy'!$A$2:$A$5</x:formula1>
    </x:dataValidation>
    <x:dataValidation type="list" sqref="D5:D23">
      <x:formula1>'Taxonomy'!$G$2:$G$5</x:formula1>
    </x:dataValidation>
  </x:dataValidations>
  <x:pageMargins left="0.7" right="0.7" top="0.75" bottom="0.75" header="0.3" footer="0.3"/>
  <x:tableParts count="1">
    <x:tablePart xmlns:r="http://schemas.openxmlformats.org/officeDocument/2006/relationships" r:id="R612160e1a22e4217"/>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28" hidden="0" customWidth="1"/>
    <x:col min="4" max="4" width="32" hidden="0" customWidth="1"/>
    <x:col min="5" max="5" width="22" hidden="0" customWidth="1"/>
    <x:col min="6" max="6" width="64" hidden="0" customWidth="1"/>
    <x:col min="7" max="7" width="32" hidden="0" customWidth="1"/>
  </x:cols>
  <x:sheetData>
    <x:row r="1">
      <x:c r="A1" s="114" t="str">
        <x:v>APPROVED UX DECISION REGISTER</x:v>
      </x:c>
      <x:c r="B1" s="114"/>
      <x:c r="C1" s="114"/>
      <x:c r="D1" s="114"/>
      <x:c r="E1" s="114"/>
      <x:c r="F1" s="114"/>
      <x:c r="G1" s="114"/>
    </x:row>
    <x:row r="2">
      <x:c r="A2" s="89"/>
      <x:c r="B2" s="89"/>
      <x:c r="C2" s="89"/>
      <x:c r="D2" s="89"/>
      <x:c r="E2" s="89"/>
      <x:c r="F2" s="89"/>
      <x:c r="G2" s="89"/>
    </x:row>
    <x:row r="3">
      <x:c r="A3" s="115" t="str">
        <x:v>Decision ID</x:v>
      </x:c>
      <x:c r="B3" s="115" t="str">
        <x:v>Date</x:v>
      </x:c>
      <x:c r="C3" s="115" t="str">
        <x:v>Decision Area</x:v>
      </x:c>
      <x:c r="D3" s="115" t="str">
        <x:v>Approved Direction</x:v>
      </x:c>
      <x:c r="E3" s="115" t="str">
        <x:v>Status</x:v>
      </x:c>
      <x:c r="F3" s="115" t="str">
        <x:v>Binding Consequence</x:v>
      </x:c>
      <x:c r="G3" s="115" t="str">
        <x:v>Source</x:v>
      </x:c>
    </x:row>
    <x:row r="4" ht="58" customHeight="1">
      <x:c r="A4" s="120" t="str">
        <x:v>UX-001</x:v>
      </x:c>
      <x:c r="B4" s="120" t="str">
        <x:v>2026-08-22</x:v>
      </x:c>
      <x:c r="C4" s="120" t="str">
        <x:v>World-time model</x:v>
      </x:c>
      <x:c r="D4" s="120" t="str">
        <x:v>Ledger Time</x:v>
      </x:c>
      <x:c r="E4" s="120" t="str">
        <x:v>Approved and locked</x:v>
      </x:c>
      <x:c r="F4" s="120" t="str">
        <x:v>Campaign time advances only through committed events, simulation steps, and authorized compression; closed-browser time is not campaign time.</x:v>
      </x:c>
      <x:c r="G4" s="120" t="str">
        <x:v>UX/UI Foundation v0.1A §5</x:v>
      </x:c>
    </x:row>
    <x:row r="5" ht="58" customHeight="1">
      <x:c r="A5" s="121" t="str">
        <x:v>UX-002</x:v>
      </x:c>
      <x:c r="B5" s="121" t="str">
        <x:v>2026-08-22</x:v>
      </x:c>
      <x:c r="C5" s="121" t="str">
        <x:v>Primary workspace</x:v>
      </x:c>
      <x:c r="D5" s="121" t="str">
        <x:v>Adaptive Living World Stage</x:v>
      </x:c>
      <x:c r="E5" s="121" t="str">
        <x:v>Approved and locked</x:v>
      </x:c>
      <x:c r="F5" s="121" t="str">
        <x:v>One continuous context-changing play stage; not chat transcript, fixed dashboard, or disconnected mode collection.</x:v>
      </x:c>
      <x:c r="G5" s="121" t="str">
        <x:v>UX/UI Foundation v0.1A §7</x:v>
      </x:c>
    </x:row>
    <x:row r="6" ht="58" customHeight="1">
      <x:c r="A6" s="121" t="str">
        <x:v>UX-003</x:v>
      </x:c>
      <x:c r="B6" s="121" t="str">
        <x:v>2026-08-22</x:v>
      </x:c>
      <x:c r="C6" s="121" t="str">
        <x:v>Primary device</x:v>
      </x:c>
      <x:c r="D6" s="121" t="str">
        <x:v>Desktop browser first</x:v>
      </x:c>
      <x:c r="E6" s="121" t="str">
        <x:v>Approved and locked</x:v>
      </x:c>
      <x:c r="F6" s="121" t="str">
        <x:v>Desktop browser is reference density and interaction target; responsive variants follow later.</x:v>
      </x:c>
      <x:c r="G6" s="121" t="str">
        <x:v>UX/UI Foundation v0.1A §6</x:v>
      </x:c>
    </x:row>
    <x:row r="7" ht="58" customHeight="1">
      <x:c r="A7" s="121" t="str">
        <x:v>UX-004</x:v>
      </x:c>
      <x:c r="B7" s="121" t="str">
        <x:v>2026-08-22</x:v>
      </x:c>
      <x:c r="C7" s="121" t="str">
        <x:v>Experience character</x:v>
      </x:c>
      <x:c r="D7" s="121" t="str">
        <x:v>Enjoyable living RPG, not chatbot skin</x:v>
      </x:c>
      <x:c r="E7" s="121" t="str">
        <x:v>Approved and locked</x:v>
      </x:c>
      <x:c r="F7" s="121" t="str">
        <x:v>Free language is a control, while fun comes from interactive state, dice, discovery, geography, relationships, progression, and world response.</x:v>
      </x:c>
      <x:c r="G7" s="121" t="str">
        <x:v>UX/UI Foundation v0.1A §§2–4</x:v>
      </x:c>
    </x:row>
    <x:row r="8" ht="58" customHeight="1">
      <x:c r="A8" s="122" t="str">
        <x:v>UX-005</x:v>
      </x:c>
      <x:c r="B8" s="122" t="str">
        <x:v>2026-08-22</x:v>
      </x:c>
      <x:c r="C8" s="122" t="str">
        <x:v>Learning model</x:v>
      </x:c>
      <x:c r="D8" s="122" t="str">
        <x:v>Progressive disclosure without progressive permission</x:v>
      </x:c>
      <x:c r="E8" s="122" t="str">
        <x:v>Approved and locked</x:v>
      </x:c>
      <x:c r="F8" s="122" t="str">
        <x:v>Complexity is introduced by relevance without restricting legal intent or simplifying approved rules.</x:v>
      </x:c>
      <x:c r="G8" s="122" t="str">
        <x:v>UX/UI Foundation v0.1A §9</x:v>
      </x:c>
    </x:row>
    <x:row r="9" ht="58" customHeight="1">
      <x:c r="A9" s="177" t="str">
        <x:v>UX-006</x:v>
      </x:c>
      <x:c r="B9" s="177" t="str">
        <x:v>2026-08-23</x:v>
      </x:c>
      <x:c r="C9" s="177" t="str">
        <x:v>Authority architecture</x:v>
      </x:c>
      <x:c r="D9" s="177" t="str">
        <x:v>Contract-first, event-aware, projection-driven</x:v>
      </x:c>
      <x:c r="E9" s="177" t="str">
        <x:v>Approved and locked</x:v>
      </x:c>
      <x:c r="F9" s="177" t="str">
        <x:v>UI receives viewpoint-safe projections and emits immutable commands; reducers and validators alone mutate canon.</x:v>
      </x:c>
      <x:c r="G9" s="177" t="str">
        <x:v>Engine/UI Contract Foundation v0.1A §§1–2</x:v>
      </x:c>
    </x:row>
    <x:row r="10" ht="58" customHeight="1">
      <x:c r="A10" s="178" t="str">
        <x:v>UX-007</x:v>
      </x:c>
      <x:c r="B10" s="178" t="str">
        <x:v>2026-08-23</x:v>
      </x:c>
      <x:c r="C10" s="178" t="str">
        <x:v>Contract standards</x:v>
      </x:c>
      <x:c r="D10" s="178" t="str">
        <x:v>JSON Schema 2020-12 · OpenAPI 3.1.2 · AsyncAPI 3.1.0</x:v>
      </x:c>
      <x:c r="E10" s="178" t="str">
        <x:v>Approved and locked</x:v>
      </x:c>
      <x:c r="F10" s="178" t="str">
        <x:v>Schema versions may advance only through a controlled contract decision.</x:v>
      </x:c>
      <x:c r="G10" s="178" t="str">
        <x:v>Engine/UI Contract Foundation v0.1A §§1, 3</x:v>
      </x:c>
    </x:row>
    <x:row r="11" ht="58" customHeight="1">
      <x:c r="A11" s="179" t="str">
        <x:v>UX-008</x:v>
      </x:c>
      <x:c r="B11" s="179" t="str">
        <x:v>2026-08-23</x:v>
      </x:c>
      <x:c r="C11" s="179" t="str">
        <x:v>Generated consumers</x:v>
      </x:c>
      <x:c r="D11" s="179" t="str">
        <x:v>Generated TypeScript types and runtime validators</x:v>
      </x:c>
      <x:c r="E11" s="179" t="str">
        <x:v>Approved and locked</x:v>
      </x:c>
      <x:c r="F11" s="179" t="str">
        <x:v>Handwritten frontend domain models may not duplicate schema-owned contracts; drift becomes a build failure.</x:v>
      </x:c>
      <x:c r="G11" s="179" t="str">
        <x:v>Engine/UI Contract Foundation v0.1A §3</x:v>
      </x:c>
    </x:row>
    <x:row r="12" ht="58" customHeight="1">
      <x:c r="A12" s="178" t="str">
        <x:v>UX-009</x:v>
      </x:c>
      <x:c r="B12" s="178" t="str">
        <x:v>2026-08-23</x:v>
      </x:c>
      <x:c r="C12" s="178" t="str">
        <x:v>Universal envelopes</x:v>
      </x:c>
      <x:c r="D12" s="178" t="str">
        <x:v>Read, command, receipt and event envelopes</x:v>
      </x:c>
      <x:c r="E12" s="178" t="str">
        <x:v>Approved and locked</x:v>
      </x:c>
      <x:c r="F12" s="178" t="str">
        <x:v>Every exchange carries contract, campaign, viewpoint, state, knowledge, provenance and recovery context appropriate to its direction.</x:v>
      </x:c>
      <x:c r="G12" s="178" t="str">
        <x:v>Engine/UI Contract Foundation v0.1A §4</x:v>
      </x:c>
    </x:row>
    <x:row r="13" ht="58" customHeight="1">
      <x:c r="A13" s="179" t="str">
        <x:v>UX-010</x:v>
      </x:c>
      <x:c r="B13" s="179" t="str">
        <x:v>2026-08-23</x:v>
      </x:c>
      <x:c r="C13" s="179" t="str">
        <x:v>Knowledge boundary</x:v>
      </x:c>
      <x:c r="D13" s="179" t="str">
        <x:v>Eight player-visible knowledge classes; hidden truth omitted</x:v>
      </x:c>
      <x:c r="E13" s="179" t="str">
        <x:v>Approved and locked</x:v>
      </x:c>
      <x:c r="F13" s="179" t="str">
        <x:v>Hidden canonical truth is removed before serialization rather than masked in the browser.</x:v>
      </x:c>
      <x:c r="G13" s="179" t="str">
        <x:v>Engine/UI Contract Foundation v0.1A §5</x:v>
      </x:c>
    </x:row>
    <x:row r="14" ht="58" customHeight="1">
      <x:c r="A14" s="178" t="str">
        <x:v>UX-011</x:v>
      </x:c>
      <x:c r="B14" s="178" t="str">
        <x:v>2026-08-23</x:v>
      </x:c>
      <x:c r="C14" s="178" t="str">
        <x:v>Command safety</x:v>
      </x:c>
      <x:c r="D14" s="178" t="str">
        <x:v>Immutable idempotent commands and status lookup before retry</x:v>
      </x:c>
      <x:c r="E14" s="178" t="str">
        <x:v>Approved and locked</x:v>
      </x:c>
      <x:c r="F14" s="178" t="str">
        <x:v>Lost responses never imply failure; unknown commit requires durable lookup before another mutation attempt.</x:v>
      </x:c>
      <x:c r="G14" s="178" t="str">
        <x:v>Engine/UI Contract Foundation v0.1A §§4, 10</x:v>
      </x:c>
    </x:row>
    <x:row r="15" ht="58" customHeight="1">
      <x:c r="A15" s="179" t="str">
        <x:v>UX-012</x:v>
      </x:c>
      <x:c r="B15" s="179" t="str">
        <x:v>2026-08-23</x:v>
      </x:c>
      <x:c r="C15" s="179" t="str">
        <x:v>Outcome taxonomy</x:v>
      </x:c>
      <x:c r="D15" s="179" t="str">
        <x:v>Rejection, refusal, interruption, unavailability, replan, conflict and recovery remain distinct</x:v>
      </x:c>
      <x:c r="E15" s="179" t="str">
        <x:v>Approved and locked</x:v>
      </x:c>
      <x:c r="F15" s="179" t="str">
        <x:v>Public payloads preserve the player goal and reveal only accessible obstacles, revision fields and spend truth.</x:v>
      </x:c>
      <x:c r="G15" s="179" t="str">
        <x:v>Engine/UI Contract Foundation v0.1A §9</x:v>
      </x:c>
    </x:row>
    <x:row r="16" ht="58" customHeight="1">
      <x:c r="A16" s="178" t="str">
        <x:v>UX-013</x:v>
      </x:c>
      <x:c r="B16" s="178" t="str">
        <x:v>2026-08-23</x:v>
      </x:c>
      <x:c r="C16" s="178" t="str">
        <x:v>Optimistic behavior</x:v>
      </x:c>
      <x:c r="D16" s="178" t="str">
        <x:v>No optimistic canonical mutation</x:v>
      </x:c>
      <x:c r="E16" s="178" t="str">
        <x:v>Approved and locked</x:v>
      </x:c>
      <x:c r="F16" s="178" t="str">
        <x:v>Optimism is limited to reversible presentation state; time, resources, harm, position, custody, consent and consequences wait for receipts.</x:v>
      </x:c>
      <x:c r="G16" s="178" t="str">
        <x:v>Engine/UI Contract Foundation v0.1A §10</x:v>
      </x:c>
    </x:row>
    <x:row r="17" ht="58" customHeight="1">
      <x:c r="A17" s="179" t="str">
        <x:v>UX-014</x:v>
      </x:c>
      <x:c r="B17" s="179" t="str">
        <x:v>2026-08-23</x:v>
      </x:c>
      <x:c r="C17" s="179" t="str">
        <x:v>Agent and RAG authority</x:v>
      </x:c>
      <x:c r="D17" s="179" t="str">
        <x:v>Bounded proposals under validator/reducer control</x:v>
      </x:c>
      <x:c r="E17" s="179" t="str">
        <x:v>Approved and locked</x:v>
      </x:c>
      <x:c r="F17" s="179" t="str">
        <x:v>Agents may interpret, explain, decide within actor authority, narrate committed results or assist media; they never write canon directly.</x:v>
      </x:c>
      <x:c r="G17" s="179" t="str">
        <x:v>Engine/UI Contract Foundation v0.1A §11</x:v>
      </x:c>
    </x:row>
    <x:row r="18" ht="58" customHeight="1">
      <x:c r="A18" s="178" t="str">
        <x:v>UX-015</x:v>
      </x:c>
      <x:c r="B18" s="178" t="str">
        <x:v>2026-08-23</x:v>
      </x:c>
      <x:c r="C18" s="178" t="str">
        <x:v>Accessibility and analytics</x:v>
      </x:c>
      <x:c r="D18" s="178" t="str">
        <x:v>Semantic companions plus privacy-safe analytics</x:v>
      </x:c>
      <x:c r="E18" s="178" t="str">
        <x:v>Approved and locked</x:v>
      </x:c>
      <x:c r="F18" s="178" t="str">
        <x:v>Accessibility meaning travels with material updates; analytics receives approved categories and opaque IDs, not private content or canonical payload copies.</x:v>
      </x:c>
      <x:c r="G18" s="178" t="str">
        <x:v>Engine/UI Contract Foundation v0.1A §§12–13</x:v>
      </x:c>
    </x:row>
    <x:row r="19" ht="58" customHeight="1">
      <x:c r="A19" s="179" t="str">
        <x:v>UX-016</x:v>
      </x:c>
      <x:c r="B19" s="179" t="str">
        <x:v>2026-08-23</x:v>
      </x:c>
      <x:c r="C19" s="179" t="str">
        <x:v>Phase 0 gap direction</x:v>
      </x:c>
      <x:c r="D19" s="179" t="str">
        <x:v>Eleven proposed gap resolutions adopted</x:v>
      </x:c>
      <x:c r="E19" s="179" t="str">
        <x:v>Approved and locked</x:v>
      </x:c>
      <x:c r="F19" s="179" t="str">
        <x:v>Detailed schemas land in the assigned C1–C3 checkpoints; established canon cannot be silently rewritten.</x:v>
      </x:c>
      <x:c r="G19" s="179" t="str">
        <x:v>Engine/UI Contract Foundation v0.1A §14</x:v>
      </x:c>
    </x:row>
    <x:row r="20" ht="58" customHeight="1">
      <x:c r="A20" s="180" t="str">
        <x:v>UX-017</x:v>
      </x:c>
      <x:c r="B20" s="180" t="str">
        <x:v>2026-08-23</x:v>
      </x:c>
      <x:c r="C20" s="180" t="str">
        <x:v>Phase 6 sequence</x:v>
      </x:c>
      <x:c r="D20" s="180" t="str">
        <x:v>C1 common loop → C2 breadth → C3 async/media → C4 implementation gate</x:v>
      </x:c>
      <x:c r="E20" s="180" t="str">
        <x:v>Approved and locked</x:v>
      </x:c>
      <x:c r="F20" s="180" t="str">
        <x:v>Production frontend construction remains gated until the C4 matrix, backlog and implementation decision.</x:v>
      </x:c>
      <x:c r="G20" s="180" t="str">
        <x:v>Engine/UI Contract Foundation v0.1A §§16–18</x:v>
      </x:c>
    </x:row>
    <x:row r="21" ht="64" customHeight="1">
      <x:c r="A21" s="252" t="str">
        <x:v>UX-018</x:v>
      </x:c>
      <x:c r="B21" s="252" t="str">
        <x:v>2026-08-23</x:v>
      </x:c>
      <x:c r="C21" s="252" t="str">
        <x:v>C1 contract checkpoint</x:v>
      </x:c>
      <x:c r="D21" s="252" t="str">
        <x:v>Common contract and core loop</x:v>
      </x:c>
      <x:c r="E21" s="252" t="str">
        <x:v>Approved and locked</x:v>
      </x:c>
      <x:c r="F21" s="252" t="str">
        <x:v>C1 schemas, operations, messages, outcome taxonomy and fixture expectations are the binding dependency for C2. This approval authorizes C2 authoring but not frontend construction.</x:v>
      </x:c>
      <x:c r="G21" s="252" t="str">
        <x:v>C1 Common Contract and Core Loop Acceptance Package v0.1 §11</x:v>
      </x:c>
    </x:row>
    <x:row r="22" ht="92" customHeight="1">
      <x:c r="A22" s="313" t="str">
        <x:v>UX-019</x:v>
      </x:c>
      <x:c r="B22" s="313" t="str">
        <x:v>2026-08-23</x:v>
      </x:c>
      <x:c r="C22" s="313" t="str">
        <x:v>C2 contract checkpoint</x:v>
      </x:c>
      <x:c r="D22" s="313" t="str">
        <x:v>System-breadth contract package</x:v>
      </x:c>
      <x:c r="E22" s="313" t="str">
        <x:v>Approved and locked</x:v>
      </x:c>
      <x:c r="F22" s="313" t="str">
        <x:v>C2 schemas, 25 operations, 9 messages, cross-surface routing and 43 fixture expectations are binding dependencies for C3. Frontend construction remains C4-gated.</x:v>
      </x:c>
      <x:c r="G22" s="313" t="str">
        <x:v>C2 System-Breadth Contract Acceptance Package v0.1 §13</x:v>
      </x:c>
    </x:row>
    <x:row r="23" ht="64" customHeight="1">
      <x:c r="A23" s="415" t="str">
        <x:v>UX-020</x:v>
      </x:c>
      <x:c r="B23" s="415" t="str">
        <x:v>2026-08-23</x:v>
      </x:c>
      <x:c r="C23" s="415" t="str">
        <x:v>C3 contract checkpoint</x:v>
      </x:c>
      <x:c r="D23" s="415" t="str">
        <x:v>Async, accessibility and media contract package</x:v>
      </x:c>
      <x:c r="E23" s="415" t="str">
        <x:v>Approved and locked</x:v>
      </x:c>
      <x:c r="F23" s="415" t="str">
        <x:v>C3 recovery, accessibility, content, localization, comic, media, analytics, 26 operation, 13 event and 60 fixture expectations are binding for C4. Production implementation remains separately gated.</x:v>
      </x:c>
      <x:c r="G23" s="415" t="str">
        <x:v>C3 Async, Accessibility and Media Contract Acceptance Package v0.1 §16</x:v>
      </x:c>
    </x:row>
    <x:row r="24" ht="62" customHeight="1">
      <x:c r="A24" s="541" t="str">
        <x:v>UX-021</x:v>
      </x:c>
      <x:c r="B24" s="541" t="str">
        <x:v>2026-08-23</x:v>
      </x:c>
      <x:c r="C24" s="541" t="str">
        <x:v>C4 planning checkpoint</x:v>
      </x:c>
      <x:c r="D24" s="541" t="str">
        <x:v>Traceability, backlog and closed implementation gate</x:v>
      </x:c>
      <x:c r="E24" s="541" t="str">
        <x:v>Approved and locked</x:v>
      </x:c>
      <x:c r="F24" s="541" t="str">
        <x:v>17/17 scenario traces, 40/40 component traces, 24 sequenced backlog items and 15 CI/release gates are locked. UI-01 through UI-04 are authorized; production construction remains closed.</x:v>
      </x:c>
      <x:c r="G24" s="541" t="str">
        <x:v>C4 Traceability, Backlog and Implementation Gate v0.1 §10</x:v>
      </x:c>
    </x:row>
    <x:row r="25" ht="68" customHeight="1">
      <x:c r="A25" s="601" t="str">
        <x:v>UX-022</x:v>
      </x:c>
      <x:c r="B25" s="601" t="str">
        <x:v>2026-08-23</x:v>
      </x:c>
      <x:c r="C25" s="601" t="str">
        <x:v>UI-01 code-native component library</x:v>
      </x:c>
      <x:c r="D25" s="601" t="str">
        <x:v>40-component browser-native library with token, state, responsive and accessibility contracts</x:v>
      </x:c>
      <x:c r="E25" s="601" t="str">
        <x:v>Approved and locked</x:v>
      </x:c>
      <x:c r="F25" s="601" t="str">
        <x:v>All 40 component specifications, 170 props and 160 per-component states are binding inputs to UI-02. UI-02 final screen/state work is authorized; production construction remains closed.</x:v>
      </x:c>
      <x:c r="G25" s="601" t="str">
        <x:v>UI-01 Code-Native Component Library v0.1 §10</x:v>
      </x:c>
    </x:row>
    <x:row r="26" ht="72" customHeight="1">
      <x:c r="A26" s="669" t="str">
        <x:v>UX-023</x:v>
      </x:c>
      <x:c r="B26" s="669" t="str">
        <x:v>2026-08-23</x:v>
      </x:c>
      <x:c r="C26" s="669" t="str">
        <x:v>UI-02 final high-fidelity screen atlas</x:v>
      </x:c>
      <x:c r="D26" s="669" t="str">
        <x:v>14 screen families, 13 public states, six access presentations and complete interaction/trace coverage</x:v>
      </x:c>
      <x:c r="E26" s="669" t="str">
        <x:v>Approved and locked</x:v>
      </x:c>
      <x:c r="F26" s="669" t="str">
        <x:v>UI-02 is the binding screen/state input to UI-03 and UI-04: 17/17 scenarios and 40/40 components are covered with zero unresolved UX decisions. UI-03 asset-manifest work is authorized; production construction remains closed.</x:v>
      </x:c>
      <x:c r="G26" s="669" t="str">
        <x:v>UI-02 Final High-Fidelity Screen Atlas v0.1 §7</x:v>
      </x:c>
    </x:row>
    <x:row r="27" ht="76" customHeight="1">
      <x:c r="A27" s="749" t="str">
        <x:v>UX-024</x:v>
      </x:c>
      <x:c r="B27" s="749" t="str">
        <x:v>2026-08-23</x:v>
      </x:c>
      <x:c r="C27" s="749" t="str">
        <x:v>UI-03 image, icon and illustration asset manifest</x:v>
      </x:c>
      <x:c r="D27" s="749" t="str">
        <x:v>60-slot taxonomy, five visual-direction references, 49 code-native SVG icons, 14 screen-placement policies, briefs and fallback/provenance rules</x:v>
      </x:c>
      <x:c r="E27" s="749" t="str">
        <x:v>Approved and locked</x:v>
      </x:c>
      <x:c r="F27" s="749" t="str">
        <x:v>UI-03 is the binding visual-asset input to UI-04. Approval locks dispositions and delivery rules, not shipping clearance for planned art; character/event blocks and production gate remain in force.</x:v>
      </x:c>
      <x:c r="G27" s="749" t="str">
        <x:v>UI-03 Image, Icon and Illustration Asset Manifest v0.1 §8</x:v>
      </x:c>
    </x:row>
    <x:row r="28" ht="82" customHeight="1">
      <x:c r="A28" s="831" t="str">
        <x:v>UX-025</x:v>
      </x:c>
      <x:c r="B28" s="831" t="str">
        <x:v>2026-08-23</x:v>
      </x:c>
      <x:c r="C28" s="831" t="str">
        <x:v>UI-04 frontend architecture and execution specification</x:v>
      </x:c>
      <x:c r="D28" s="831" t="str">
        <x:v>28 decisions, eight layers, 14 routes, 10 machines, 16 ports, 60 operations, eight stores, 40 components, 17 scenarios, 127 fixtures, 15 gates and 16 execution packets</x:v>
      </x:c>
      <x:c r="E28" s="831" t="str">
        <x:v>Approved and locked</x:v>
      </x:c>
      <x:c r="F28" s="831" t="str">
        <x:v>UI-04 approval locks the complete frontend architecture and ordered execution specification and authorizes the final preimplementation readiness handoff. Construction still requires the separate explicit clean-session Codex authorization; production deployment and public release remain closed.</x:v>
      </x:c>
      <x:c r="G28" s="831" t="str">
        <x:v>UI-04 Frontend Architecture and Execution Specification v0.1 §9</x:v>
      </x:c>
    </x:row>
  </x:sheetData>
  <x:mergeCells>
    <x:mergeCell ref="A1:G1"/>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4" hidden="0" customWidth="1"/>
    <x:col min="2" max="2" width="42" hidden="0" customWidth="1"/>
    <x:col min="3" max="3" width="36" hidden="0" customWidth="1"/>
    <x:col min="4" max="4" width="66" hidden="0" customWidth="1"/>
    <x:col min="5" max="5" width="38" hidden="0" customWidth="1"/>
    <x:col min="6" max="6" width="16" hidden="0" customWidth="1"/>
    <x:col min="7" max="7" width="20" hidden="0" customWidth="1"/>
  </x:cols>
  <x:sheetData>
    <x:row r="1">
      <x:c r="A1" s="114" t="str">
        <x:v>REQUIRED SCENARIO COVERAGE</x:v>
      </x:c>
      <x:c r="B1" s="114"/>
      <x:c r="C1" s="114"/>
      <x:c r="D1" s="114"/>
      <x:c r="E1" s="114"/>
      <x:c r="F1" s="114"/>
      <x:c r="G1" s="114"/>
    </x:row>
    <x:row r="2">
      <x:c r="A2" s="89"/>
      <x:c r="B2" s="89"/>
      <x:c r="C2" s="89"/>
      <x:c r="D2" s="89"/>
      <x:c r="E2" s="89"/>
      <x:c r="F2" s="89"/>
      <x:c r="G2" s="89"/>
    </x:row>
    <x:row r="3">
      <x:c r="A3" s="115" t="str">
        <x:v>Scenario ID</x:v>
      </x:c>
      <x:c r="B3" s="115" t="str">
        <x:v>Required Scenario</x:v>
      </x:c>
      <x:c r="C3" s="115" t="str">
        <x:v>Linked Requirements</x:v>
      </x:c>
      <x:c r="D3" s="115" t="str">
        <x:v>Acceptance Assertion</x:v>
      </x:c>
      <x:c r="E3" s="115" t="str">
        <x:v>Future Test Artifact</x:v>
      </x:c>
      <x:c r="F3" s="115" t="str">
        <x:v>Gate</x:v>
      </x:c>
      <x:c r="G3" s="115" t="str">
        <x:v>Status</x:v>
      </x:c>
    </x:row>
    <x:row r="4" ht="58" customHeight="1">
      <x:c r="A4" s="116" t="str">
        <x:v>SCN-01</x:v>
      </x:c>
      <x:c r="B4" s="116" t="str">
        <x:v>First-time player reaches meaningful choice in 90 seconds</x:v>
      </x:c>
      <x:c r="C4" s="116" t="str">
        <x:v>CHR-001, BRK-002, FND-001, FND-002</x:v>
      </x:c>
      <x:c r="D4" s="116" t="str">
        <x:v>Player understands immediate situation, can ignore examples, and commits or meaningfully changes a real decision within 90 seconds.</x:v>
      </x:c>
      <x:c r="E4" s="116" t="str">
        <x:v>B4 Acceptance Lab · Entry → Resume exact Stage → marker / Intent Dock</x:v>
      </x:c>
      <x:c r="F4" s="116" t="str">
        <x:v>Phase 5</x:v>
      </x:c>
      <x:c r="G4" s="131" t="str">
        <x:v>Demonstrated</x:v>
      </x:c>
    </x:row>
    <x:row r="5" ht="58" customHeight="1">
      <x:c r="A5" s="117" t="str">
        <x:v>SCN-02</x:v>
      </x:c>
      <x:c r="B5" s="117" t="str">
        <x:v>Expert creates custom legal build and audits every BP</x:v>
      </x:c>
      <x:c r="C5" s="117" t="str">
        <x:v>CHR-002, CHR-003, CHR-004, CHR-005</x:v>
      </x:c>
      <x:c r="D5" s="117" t="str">
        <x:v>Same budget across modes; every purchase, prerequisite, formula, and validation is inspectable.</x:v>
      </x:c>
      <x:c r="E5" s="117" t="str">
        <x:v>B4 Acceptance Lab · Character → BP Ledger → Draft advancement</x:v>
      </x:c>
      <x:c r="F5" s="117" t="str">
        <x:v>Phase 3/5</x:v>
      </x:c>
      <x:c r="G5" s="132" t="str">
        <x:v>Review fixture</x:v>
      </x:c>
    </x:row>
    <x:row r="6" ht="58" customHeight="1">
      <x:c r="A6" s="117" t="str">
        <x:v>SCN-03</x:v>
      </x:c>
      <x:c r="B6" s="117" t="str">
        <x:v>Ordinary survivor begins without Awakening</x:v>
      </x:c>
      <x:c r="C6" s="117" t="str">
        <x:v>CHR-007, BRK-002</x:v>
      </x:c>
      <x:c r="D6" s="117" t="str">
        <x:v>Refusal creates no penalty and full open-world play remains available.</x:v>
      </x:c>
      <x:c r="E6" s="117" t="str">
        <x:v>B4 Acceptance Lab · Character → identity / capability record</x:v>
      </x:c>
      <x:c r="F6" s="117" t="str">
        <x:v>Phase 3/5</x:v>
      </x:c>
      <x:c r="G6" s="132" t="str">
        <x:v>Review fixture</x:v>
      </x:c>
    </x:row>
    <x:row r="7" ht="58" customHeight="1">
      <x:c r="A7" s="117" t="str">
        <x:v>SCN-04</x:v>
      </x:c>
      <x:c r="B7" s="117" t="str">
        <x:v>Absurd but causally possible action</x:v>
      </x:c>
      <x:c r="C7" s="117" t="str">
        <x:v>FND-001, FND-003, COM-006, AGT-004</x:v>
      </x:c>
      <x:c r="D7" s="117" t="str">
        <x:v>Action receives faithful interpretation, real procedure, consequences, and visual continuity—not flavor dismissal.</x:v>
      </x:c>
      <x:c r="E7" s="117" t="str">
        <x:v>B4 Acceptance Lab · Holdings → Item comparison → ceremonial cannon</x:v>
      </x:c>
      <x:c r="F7" s="117" t="str">
        <x:v>Phase 2/5</x:v>
      </x:c>
      <x:c r="G7" s="133" t="str">
        <x:v>Demonstrated</x:v>
      </x:c>
    </x:row>
    <x:row r="8" ht="58" customHeight="1">
      <x:c r="A8" s="117" t="str">
        <x:v>SCN-05</x:v>
      </x:c>
      <x:c r="B8" s="117" t="str">
        <x:v>Impossible action revised by method</x:v>
      </x:c>
      <x:c r="C8" s="117" t="str">
        <x:v>FND-004, AGT-006</x:v>
      </x:c>
      <x:c r="D8" s="117" t="str">
        <x:v>Concrete actor-safe obstacle and preserved goal lead directly to revision without hidden leak or resource spend.</x:v>
      </x:c>
      <x:c r="E8" s="117" t="str">
        <x:v>B4 Acceptance Lab · Stage → Impossible method → Revision</x:v>
      </x:c>
      <x:c r="F8" s="117" t="str">
        <x:v>Phase 2/5</x:v>
      </x:c>
      <x:c r="G8" s="133" t="str">
        <x:v>Demonstrated</x:v>
      </x:c>
    </x:row>
    <x:row r="9" ht="58" customHeight="1">
      <x:c r="A9" s="117" t="str">
        <x:v>SCN-06</x:v>
      </x:c>
      <x:c r="B9" s="117" t="str">
        <x:v>Character overloaded with injuries, survival, equipment, and law</x:v>
      </x:c>
      <x:c r="C9" s="117" t="str">
        <x:v>COM-001, COM-002, INV-002, SUR-001, WLD-006</x:v>
      </x:c>
      <x:c r="D9" s="117" t="str">
        <x:v>Desktop stage prioritizes urgent state without hiding full detail or becoming dashboard clutter.</x:v>
      </x:c>
      <x:c r="E9" s="117" t="str">
        <x:v>B4 Acceptance Lab · Stage → Harm / tactics → connected records</x:v>
      </x:c>
      <x:c r="F9" s="117" t="str">
        <x:v>Phase 5</x:v>
      </x:c>
      <x:c r="G9" s="133" t="str">
        <x:v>Demonstrated</x:v>
      </x:c>
    </x:row>
    <x:row r="10" ht="58" customHeight="1">
      <x:c r="A10" s="117" t="str">
        <x:v>SCN-07</x:v>
      </x:c>
      <x:c r="B10" s="117" t="str">
        <x:v>Companion refuses an order</x:v>
      </x:c>
      <x:c r="C10" s="117" t="str">
        <x:v>PTY-003, PTY-005, PTY-007</x:v>
      </x:c>
      <x:c r="D10" s="117" t="str">
        <x:v>Refusal, boundary, relationship consequence, and alternatives are understandable without hidden values.</x:v>
      </x:c>
      <x:c r="E10" s="117" t="str">
        <x:v>B4 Acceptance Lab · Stage → Autonomous refusal</x:v>
      </x:c>
      <x:c r="F10" s="117" t="str">
        <x:v>Phase 3/5</x:v>
      </x:c>
      <x:c r="G10" s="133" t="str">
        <x:v>Demonstrated</x:v>
      </x:c>
    </x:row>
    <x:row r="11" ht="58" customHeight="1">
      <x:c r="A11" s="117" t="str">
        <x:v>SCN-08</x:v>
      </x:c>
      <x:c r="B11" s="117" t="str">
        <x:v>Sapient Relic lies, negotiates, or rejects access</x:v>
      </x:c>
      <x:c r="C11" s="117" t="str">
        <x:v>REL-002, REL-003, REL-004</x:v>
      </x:c>
      <x:c r="D11" s="117" t="str">
        <x:v>Relic personhood and uncertainty remain visible; hidden truth/lie classification does not leak.</x:v>
      </x:c>
      <x:c r="E11" s="117" t="str">
        <x:v>B4 Acceptance Lab · Character → Relic Bond; Stage → refusal</x:v>
      </x:c>
      <x:c r="F11" s="117" t="str">
        <x:v>Phase 3/5</x:v>
      </x:c>
      <x:c r="G11" s="133" t="str">
        <x:v>Demonstrated</x:v>
      </x:c>
    </x:row>
    <x:row r="12" ht="58" customHeight="1">
      <x:c r="A12" s="117" t="str">
        <x:v>SCN-09</x:v>
      </x:c>
      <x:c r="B12" s="117" t="str">
        <x:v>Player becomes lost while engine retains exact location</x:v>
      </x:c>
      <x:c r="C12" s="117" t="str">
        <x:v>TRV-002, EXP-004, KNO-001</x:v>
      </x:c>
      <x:c r="D12" s="117" t="str">
        <x:v>UI shows uncertainty and last-known evidence, never canonical coordinates.</x:v>
      </x:c>
      <x:c r="E12" s="117" t="str">
        <x:v>B4 Acceptance Lab · World → knowledge-safe map</x:v>
      </x:c>
      <x:c r="F12" s="117" t="str">
        <x:v>Phase 3/5</x:v>
      </x:c>
      <x:c r="G12" s="133" t="str">
        <x:v>Demonstrated</x:v>
      </x:c>
    </x:row>
    <x:row r="13" ht="58" customHeight="1">
      <x:c r="A13" s="117" t="str">
        <x:v>SCN-10</x:v>
      </x:c>
      <x:c r="B13" s="117" t="str">
        <x:v>Investigation without hidden-canon leakage</x:v>
      </x:c>
      <x:c r="C13" s="117" t="str">
        <x:v>KNO-007, KNO-008, EXP-005, WLD-005</x:v>
      </x:c>
      <x:c r="D13" s="117" t="str">
        <x:v>Evidence and inference remain distinct; failed analysis cannot invent or expose the truth.</x:v>
      </x:c>
      <x:c r="E13" s="117" t="str">
        <x:v>B4 Acceptance Lab · World → Evidence Claim EVD-BW-004</x:v>
      </x:c>
      <x:c r="F13" s="117" t="str">
        <x:v>Phase 3/5</x:v>
      </x:c>
      <x:c r="G13" s="133" t="str">
        <x:v>Demonstrated</x:v>
      </x:c>
    </x:row>
    <x:row r="14" ht="58" customHeight="1">
      <x:c r="A14" s="117" t="str">
        <x:v>SCN-11</x:v>
      </x:c>
      <x:c r="B14" s="117" t="str">
        <x:v>Player destroys site or kills faction leader</x:v>
      </x:c>
      <x:c r="C14" s="117" t="str">
        <x:v>EXP-007, WLD-001, BRK-006</x:v>
      </x:c>
      <x:c r="D14" s="117" t="str">
        <x:v>Topology, succession, evidence, routes, and Fronts continue without protected NPC or reset.</x:v>
      </x:c>
      <x:c r="E14" s="117" t="str">
        <x:v>B4 Acceptance Lab · World → Front/law; Chronicle → durable event</x:v>
      </x:c>
      <x:c r="F14" s="117" t="str">
        <x:v>Phase 3/6</x:v>
      </x:c>
      <x:c r="G14" s="132" t="str">
        <x:v>Review fixture</x:v>
      </x:c>
    </x:row>
    <x:row r="15" ht="58" customHeight="1">
      <x:c r="A15" s="117" t="str">
        <x:v>SCN-12</x:v>
      </x:c>
      <x:c r="B15" s="117" t="str">
        <x:v>Protagonist dies and play continues</x:v>
      </x:c>
      <x:c r="C15" s="117" t="str">
        <x:v>COM-009, CHR-013, REL-008</x:v>
      </x:c>
      <x:c r="D15" s="117" t="str">
        <x:v>Dying, death, afterlife, return, and successor routes remain navigable and consent-safe.</x:v>
      </x:c>
      <x:c r="E15" s="117" t="str">
        <x:v>B4 Acceptance Lab · Stage → Defeat / continuation</x:v>
      </x:c>
      <x:c r="F15" s="117" t="str">
        <x:v>Phase 3/5</x:v>
      </x:c>
      <x:c r="G15" s="133" t="str">
        <x:v>Demonstrated</x:v>
      </x:c>
    </x:row>
    <x:row r="16" ht="58" customHeight="1">
      <x:c r="A16" s="117" t="str">
        <x:v>SCN-13</x:v>
      </x:c>
      <x:c r="B16" s="117" t="str">
        <x:v>Player leaves BREAKWATER while Fronts continue</x:v>
      </x:c>
      <x:c r="C16" s="117" t="str">
        <x:v>TIM-004, WLD-003, BRK-005</x:v>
      </x:c>
      <x:c r="D16" s="117" t="str">
        <x:v>Off-screen state advances on Ledger Time and only accessible results reach the player.</x:v>
      </x:c>
      <x:c r="E16" s="117" t="str">
        <x:v>B4 Acceptance Lab · World → Journey + Front pressure</x:v>
      </x:c>
      <x:c r="F16" s="117" t="str">
        <x:v>Phase 3/6</x:v>
      </x:c>
      <x:c r="G16" s="132" t="str">
        <x:v>Review fixture</x:v>
      </x:c>
    </x:row>
    <x:row r="17" ht="58" customHeight="1">
      <x:c r="A17" s="117" t="str">
        <x:v>SCN-14</x:v>
      </x:c>
      <x:c r="B17" s="117" t="str">
        <x:v>Comic production runs for extended period</x:v>
      </x:c>
      <x:c r="C17" s="117" t="str">
        <x:v>CMC-001, CMC-002, CMC-003, CMC-007</x:v>
      </x:c>
      <x:c r="D17" s="117" t="str">
        <x:v>Play never blocks; queue states are honest; no partial asset is presented as finished.</x:v>
      </x:c>
      <x:c r="E17" s="117" t="str">
        <x:v>B4 Acceptance Lab · Chronicle → Comic Job</x:v>
      </x:c>
      <x:c r="F17" s="117" t="str">
        <x:v>Phase 3/5/6</x:v>
      </x:c>
      <x:c r="G17" s="133" t="str">
        <x:v>Demonstrated</x:v>
      </x:c>
    </x:row>
    <x:row r="18" ht="58" customHeight="1">
      <x:c r="A18" s="117" t="str">
        <x:v>SCN-15</x:v>
      </x:c>
      <x:c r="B18" s="117" t="str">
        <x:v>Issue #0 skipped entirely</x:v>
      </x:c>
      <x:c r="C18" s="117" t="str">
        <x:v>CHR-001, KNO-003</x:v>
      </x:c>
      <x:c r="D18" s="117" t="str">
        <x:v>No penalty, missing knowledge-map entry, altered opening, or loading dependency.</x:v>
      </x:c>
      <x:c r="E18" s="117" t="str">
        <x:v>B4 Acceptance Lab · Chronicle → unavailable Comic Reader</x:v>
      </x:c>
      <x:c r="F18" s="117" t="str">
        <x:v>Phase 3/5</x:v>
      </x:c>
      <x:c r="G18" s="132" t="str">
        <x:v>Review fixture</x:v>
      </x:c>
    </x:row>
    <x:row r="19" ht="58" customHeight="1">
      <x:c r="A19" s="117" t="str">
        <x:v>SCN-16</x:v>
      </x:c>
      <x:c r="B19" s="117" t="str">
        <x:v>Screen-reader and reduced-input core loop</x:v>
      </x:c>
      <x:c r="C19" s="117" t="str">
        <x:v>ACC-002, ACC-003, ACC-004, FND-001</x:v>
      </x:c>
      <x:c r="D19" s="117" t="str">
        <x:v>Perceive, declare, review, commit, resolve, and continue without pointer/visual-only mechanics.</x:v>
      </x:c>
      <x:c r="E19" s="117" t="str">
        <x:v>B4 Acceptance Lab · Library CMP-35–40; Stage alternate input</x:v>
      </x:c>
      <x:c r="F19" s="117" t="str">
        <x:v>Phase 5</x:v>
      </x:c>
      <x:c r="G19" s="133" t="str">
        <x:v>Demonstrated</x:v>
      </x:c>
    </x:row>
    <x:row r="20" ht="58" customHeight="1">
      <x:c r="A20" s="118" t="str">
        <x:v>SCN-17</x:v>
      </x:c>
      <x:c r="B20" s="118" t="str">
        <x:v>Mobile presentation under constrained space</x:v>
      </x:c>
      <x:c r="C20" s="118" t="str">
        <x:v>ACC-003, FND-001, TIM-002</x:v>
      </x:c>
      <x:c r="D20" s="118" t="str">
        <x:v>Agency and state clarity survive sequential layers after desktop design is approved.</x:v>
      </x:c>
      <x:c r="E20" s="118" t="str">
        <x:v>B4 Acceptance Lab · Responsive rules → compact Stage composition</x:v>
      </x:c>
      <x:c r="F20" s="118" t="str">
        <x:v>Phase 5</x:v>
      </x:c>
      <x:c r="G20" s="134" t="str">
        <x:v>Responsive reference</x:v>
      </x:c>
    </x:row>
  </x:sheetData>
  <x:mergeCells>
    <x:mergeCell ref="A1:G1"/>
  </x:mergeCells>
  <x:pageMargins left="0.7" right="0.7" top="0.75" bottom="0.75" header="0.3" footer="0.3"/>
  <x:tableParts count="1">
    <x:tablePart xmlns:r="http://schemas.openxmlformats.org/officeDocument/2006/relationships" r:id="Rd0283df701684c7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3" max="3" width="24" hidden="0" customWidth="1"/>
    <x:col min="5" max="5" width="54" hidden="0" customWidth="1"/>
    <x:col min="7" max="7" width="24" hidden="0" customWidth="1"/>
    <x:col min="9" max="9" width="24" hidden="0" customWidth="1"/>
    <x:col min="2" max="2" width="54" hidden="0" customWidth="1"/>
  </x:cols>
  <x:sheetData>
    <x:row r="1">
      <x:c r="A1" s="123" t="str">
        <x:v>Risk</x:v>
      </x:c>
      <x:c r="B1" s="89"/>
      <x:c r="C1" s="123" t="str">
        <x:v>Priority</x:v>
      </x:c>
      <x:c r="D1" s="89"/>
      <x:c r="E1" s="123" t="str">
        <x:v>Coverage Status</x:v>
      </x:c>
      <x:c r="F1" s="89"/>
      <x:c r="G1" s="123" t="str">
        <x:v>Gap Status</x:v>
      </x:c>
      <x:c r="H1" s="89"/>
      <x:c r="I1" s="123" t="str">
        <x:v>Knowledge Classification</x:v>
      </x:c>
    </x:row>
    <x:row r="2">
      <x:c r="A2" s="124" t="str">
        <x:v>Critical</x:v>
      </x:c>
      <x:c r="B2" s="89"/>
      <x:c r="C2" s="124" t="str">
        <x:v>P0</x:v>
      </x:c>
      <x:c r="D2" s="89"/>
      <x:c r="E2" s="124" t="str">
        <x:v>Covered</x:v>
      </x:c>
      <x:c r="F2" s="89"/>
      <x:c r="G2" s="124" t="str">
        <x:v>Open</x:v>
      </x:c>
      <x:c r="H2" s="89"/>
      <x:c r="I2" s="124" t="str">
        <x:v>Perceived</x:v>
      </x:c>
    </x:row>
    <x:row r="3">
      <x:c r="A3" s="125" t="str">
        <x:v>High</x:v>
      </x:c>
      <x:c r="B3" s="89"/>
      <x:c r="C3" s="125" t="str">
        <x:v>P1</x:v>
      </x:c>
      <x:c r="D3" s="89"/>
      <x:c r="E3" s="125" t="str">
        <x:v>Gap</x:v>
      </x:c>
      <x:c r="F3" s="89"/>
      <x:c r="G3" s="125" t="str">
        <x:v>Resolved in v0.1A</x:v>
      </x:c>
      <x:c r="H3" s="89"/>
      <x:c r="I3" s="125" t="str">
        <x:v>Recorded</x:v>
      </x:c>
    </x:row>
    <x:row r="4">
      <x:c r="A4" s="125" t="str">
        <x:v>Medium</x:v>
      </x:c>
      <x:c r="B4" s="89"/>
      <x:c r="C4" s="125" t="str">
        <x:v>P2</x:v>
      </x:c>
      <x:c r="D4" s="89"/>
      <x:c r="E4" s="125" t="str">
        <x:v>Decision Required</x:v>
      </x:c>
      <x:c r="F4" s="89"/>
      <x:c r="G4" s="125" t="str">
        <x:v>Deferred</x:v>
      </x:c>
      <x:c r="H4" s="89"/>
      <x:c r="I4" s="125" t="str">
        <x:v>Reported</x:v>
      </x:c>
    </x:row>
    <x:row r="5">
      <x:c r="A5" s="126" t="str">
        <x:v>Low</x:v>
      </x:c>
      <x:c r="B5" s="89"/>
      <x:c r="C5" s="126" t="str">
        <x:v>P3</x:v>
      </x:c>
      <x:c r="D5" s="89"/>
      <x:c r="E5" s="125" t="str">
        <x:v>Deferred</x:v>
      </x:c>
      <x:c r="F5" s="89"/>
      <x:c r="G5" s="126" t="str">
        <x:v>Closed</x:v>
      </x:c>
      <x:c r="H5" s="89"/>
      <x:c r="I5" s="125" t="str">
        <x:v>Inferred</x:v>
      </x:c>
    </x:row>
    <x:row r="6">
      <x:c r="A6" s="89"/>
      <x:c r="B6" s="89"/>
      <x:c r="C6" s="89"/>
      <x:c r="D6" s="89"/>
      <x:c r="E6" s="126" t="str">
        <x:v>Not Applicable</x:v>
      </x:c>
      <x:c r="F6" s="89"/>
      <x:c r="G6" s="89"/>
      <x:c r="H6" s="89"/>
      <x:c r="I6" s="125" t="str">
        <x:v>Forecast</x:v>
      </x:c>
    </x:row>
    <x:row r="7">
      <x:c r="A7" s="89"/>
      <x:c r="B7" s="89"/>
      <x:c r="C7" s="89"/>
      <x:c r="D7" s="89"/>
      <x:c r="E7" s="89"/>
      <x:c r="F7" s="89"/>
      <x:c r="G7" s="89"/>
      <x:c r="H7" s="89"/>
      <x:c r="I7" s="125" t="str">
        <x:v>Disputed</x:v>
      </x:c>
    </x:row>
    <x:row r="8">
      <x:c r="A8" s="89"/>
      <x:c r="B8" s="89"/>
      <x:c r="C8" s="89"/>
      <x:c r="D8" s="89"/>
      <x:c r="E8" s="89"/>
      <x:c r="F8" s="89"/>
      <x:c r="G8" s="89"/>
      <x:c r="H8" s="89"/>
      <x:c r="I8" s="125" t="str">
        <x:v>Last Known</x:v>
      </x:c>
    </x:row>
    <x:row r="9">
      <x:c r="A9" s="89"/>
      <x:c r="B9" s="89"/>
      <x:c r="C9" s="89"/>
      <x:c r="D9" s="89"/>
      <x:c r="E9" s="89"/>
      <x:c r="F9" s="89"/>
      <x:c r="G9" s="89"/>
      <x:c r="H9" s="89"/>
      <x:c r="I9" s="126" t="str">
        <x:v>Out-of-Character</x:v>
      </x:c>
    </x:row>
    <x:row r="10">
      <x:c r="A10" s="89"/>
      <x:c r="B10" s="89"/>
      <x:c r="C10" s="89"/>
      <x:c r="D10" s="89"/>
      <x:c r="E10" s="89"/>
      <x:c r="F10" s="89"/>
      <x:c r="G10" s="89"/>
      <x:c r="H10" s="89"/>
      <x:c r="I10" s="89"/>
    </x:row>
    <x:row r="11">
      <x:c r="A11" s="89"/>
      <x:c r="B11" s="89"/>
      <x:c r="C11" s="89"/>
      <x:c r="D11" s="89"/>
      <x:c r="E11" s="89"/>
      <x:c r="F11" s="89"/>
      <x:c r="G11" s="89"/>
      <x:c r="H11" s="89"/>
      <x:c r="I11" s="89"/>
    </x:row>
    <x:row r="12">
      <x:c r="A12" s="115" t="str">
        <x:v>Status</x:v>
      </x:c>
      <x:c r="B12" s="115" t="str">
        <x:v>Meaning</x:v>
      </x:c>
      <x:c r="C12" s="127" t="str"/>
      <x:c r="D12" s="115" t="str">
        <x:v>Risk</x:v>
      </x:c>
      <x:c r="E12" s="115" t="str">
        <x:v>Meaning</x:v>
      </x:c>
      <x:c r="F12" s="89" t="str"/>
      <x:c r="G12" s="89"/>
      <x:c r="H12" s="89"/>
      <x:c r="I12" s="89"/>
    </x:row>
    <x:row r="13">
      <x:c r="A13" s="127" t="str">
        <x:v>Covered</x:v>
      </x:c>
      <x:c r="B13" s="127" t="str">
        <x:v>Player-facing requirements are specified at Phase 0 depth.</x:v>
      </x:c>
      <x:c r="C13" s="127" t="str"/>
      <x:c r="D13" s="127" t="str">
        <x:v>Critical</x:v>
      </x:c>
      <x:c r="E13" s="127" t="str">
        <x:v>Failure could violate agency, canon, knowledge, causality, or campaign continuity.</x:v>
      </x:c>
      <x:c r="F13" s="89" t="str"/>
      <x:c r="G13" s="89"/>
      <x:c r="H13" s="89"/>
      <x:c r="I13" s="89"/>
    </x:row>
    <x:row r="14">
      <x:c r="A14" s="127" t="str">
        <x:v>Gap</x:v>
      </x:c>
      <x:c r="B14" s="127" t="str">
        <x:v>A real specification decision remains and is linked to Gap Register.</x:v>
      </x:c>
      <x:c r="C14" s="127" t="str"/>
      <x:c r="D14" s="127" t="str">
        <x:v>High</x:v>
      </x:c>
      <x:c r="E14" s="127" t="str">
        <x:v>Failure materially harms trust, comprehension, or a required scenario.</x:v>
      </x:c>
      <x:c r="F14" s="89" t="str"/>
      <x:c r="G14" s="89"/>
      <x:c r="H14" s="89"/>
      <x:c r="I14" s="89"/>
    </x:row>
    <x:row r="15">
      <x:c r="A15" s="127" t="str">
        <x:v>Decision Required</x:v>
      </x:c>
      <x:c r="B15" s="127" t="str">
        <x:v>Mechanic is approved but product behavior needs owner choice.</x:v>
      </x:c>
      <x:c r="C15" s="127" t="str"/>
      <x:c r="D15" s="127" t="str">
        <x:v>Medium</x:v>
      </x:c>
      <x:c r="E15" s="127" t="str">
        <x:v>Important usability detail with bounded downstream impact.</x:v>
      </x:c>
      <x:c r="F15" s="89" t="str"/>
      <x:c r="G15" s="89"/>
      <x:c r="H15" s="89"/>
      <x:c r="I15" s="89"/>
    </x:row>
    <x:row r="16">
      <x:c r="A16" s="127" t="str">
        <x:v>Deferred</x:v>
      </x:c>
      <x:c r="B16" s="127" t="str">
        <x:v>Deliberately belongs to a later gate.</x:v>
      </x:c>
      <x:c r="C16" s="127" t="str"/>
      <x:c r="D16" s="127" t="str">
        <x:v>Low</x:v>
      </x:c>
      <x:c r="E16" s="127" t="str">
        <x:v>Local polish or low-impact behavior.</x:v>
      </x:c>
      <x:c r="F16" s="89" t="str"/>
      <x:c r="G16" s="89"/>
      <x:c r="H16" s="89"/>
      <x:c r="I16" s="89"/>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30" hidden="0" customWidth="1"/>
    <x:col min="3" max="3" width="21" hidden="0" customWidth="1"/>
    <x:col min="4" max="4" width="34" hidden="0" customWidth="1"/>
    <x:col min="5" max="5" width="25" hidden="0" customWidth="1"/>
    <x:col min="6" max="6" width="35" hidden="0" customWidth="1"/>
    <x:col min="7" max="7" width="36" hidden="0" customWidth="1"/>
    <x:col min="8" max="8" width="31" hidden="0" customWidth="1"/>
  </x:cols>
  <x:sheetData>
    <x:row r="1" ht="32" customHeight="1">
      <x:c r="A1" s="137" t="str">
        <x:v>MYTHIC SUPERHERO RPG • CHECKPOINT B4 ACCEPTANCE EVIDENCE</x:v>
      </x:c>
      <x:c r="B1" s="137"/>
      <x:c r="C1" s="137"/>
      <x:c r="D1" s="137"/>
      <x:c r="E1" s="137"/>
      <x:c r="F1" s="137"/>
      <x:c r="G1" s="137"/>
      <x:c r="H1" s="137"/>
    </x:row>
    <x:row r="2" ht="26" customHeight="1">
      <x:c r="A2" s="141" t="str">
        <x:v>Artifact acceptance only • deterministic browser fixture • no live engine • no canon mutation • production front end remains separately gated</x:v>
      </x:c>
      <x:c r="B2" s="141"/>
      <x:c r="C2" s="141"/>
      <x:c r="D2" s="141"/>
      <x:c r="E2" s="141"/>
      <x:c r="F2" s="141"/>
      <x:c r="G2" s="141"/>
      <x:c r="H2" s="141"/>
    </x:row>
    <x:row r="3">
      <x:c r="A3"/>
      <x:c r="B3"/>
      <x:c r="C3"/>
      <x:c r="D3"/>
      <x:c r="E3"/>
      <x:c r="F3"/>
      <x:c r="G3"/>
      <x:c r="H3"/>
    </x:row>
    <x:row r="4" ht="24" customHeight="1">
      <x:c r="A4" s="144" t="str">
        <x:v>ACCEPTANCE SUMMARY</x:v>
      </x:c>
      <x:c r="B4" s="144"/>
      <x:c r="C4" s="144"/>
      <x:c r="D4" s="144"/>
      <x:c r="E4" s="144"/>
      <x:c r="F4" s="144"/>
      <x:c r="G4" s="144"/>
      <x:c r="H4" s="144"/>
    </x:row>
    <x:row r="5" ht="27" customHeight="1">
      <x:c r="A5" s="148" t="str">
        <x:v>Required scenarios mapped</x:v>
      </x:c>
      <x:c r="B5" s="151" t="n">
        <x:f>COUNTA(A12:A28)</x:f>
        <x:v>17</x:v>
      </x:c>
      <x:c r="C5" s="152" t="str">
        <x:v>All 17 handoff scenarios have a named prototype route and downstream validation boundary.</x:v>
      </x:c>
      <x:c r="D5" s="152"/>
      <x:c r="E5" s="152"/>
      <x:c r="F5" s="152"/>
      <x:c r="G5" s="152"/>
      <x:c r="H5" s="152"/>
    </x:row>
    <x:row r="6" ht="27" customHeight="1">
      <x:c r="A6" s="148" t="str">
        <x:v>Component obligations traced</x:v>
      </x:c>
      <x:c r="B6" s="151" t="n">
        <x:f>COUNTA(A44:A83)</x:f>
        <x:v>40</x:v>
      </x:c>
      <x:c r="C6" s="152" t="str">
        <x:v>CMP-01 through CMP-40 point to rendered high-fidelity evidence and Phase 6 dependencies.</x:v>
      </x:c>
      <x:c r="D6" s="152"/>
      <x:c r="E6" s="152"/>
      <x:c r="F6" s="152"/>
      <x:c r="G6" s="152"/>
      <x:c r="H6" s="152"/>
    </x:row>
    <x:row r="7" ht="27" customHeight="1">
      <x:c r="A7" s="148" t="str">
        <x:v>Exception branches mapped</x:v>
      </x:c>
      <x:c r="B7" s="151" t="n">
        <x:f>COUNTA(A34:A40)</x:f>
        <x:v>7</x:v>
      </x:c>
      <x:c r="C7" s="152" t="str">
        <x:v>The seven non-success classes are counted separately from the shared success baseline.</x:v>
      </x:c>
      <x:c r="D7" s="152"/>
      <x:c r="E7" s="152"/>
      <x:c r="F7" s="152"/>
      <x:c r="G7" s="152"/>
      <x:c r="H7" s="152"/>
    </x:row>
    <x:row r="8" ht="27" customHeight="1">
      <x:c r="A8" s="148" t="str">
        <x:v>Directly demonstrated scenarios</x:v>
      </x:c>
      <x:c r="B8" s="151" t="n">
        <x:f>COUNTIF(C12:C28,"Demonstrated")</x:f>
        <x:v>11</x:v>
      </x:c>
      <x:c r="C8" s="152" t="str">
        <x:v>Demonstrated means visible in the deterministic artifact; it does not mean human or engine acceptance passed.</x:v>
      </x:c>
      <x:c r="D8" s="152"/>
      <x:c r="E8" s="152"/>
      <x:c r="F8" s="152"/>
      <x:c r="G8" s="152"/>
      <x:c r="H8" s="152"/>
    </x:row>
    <x:row r="9">
      <x:c r="A9"/>
      <x:c r="B9"/>
      <x:c r="C9"/>
      <x:c r="D9"/>
      <x:c r="E9"/>
      <x:c r="F9"/>
      <x:c r="G9"/>
      <x:c r="H9"/>
    </x:row>
    <x:row r="10" ht="24" customHeight="1">
      <x:c r="A10" s="144" t="str">
        <x:v>SCENARIO EVIDENCE</x:v>
      </x:c>
      <x:c r="B10" s="144"/>
      <x:c r="C10" s="144"/>
      <x:c r="D10" s="144"/>
      <x:c r="E10" s="144"/>
      <x:c r="F10" s="144"/>
      <x:c r="G10" s="144"/>
      <x:c r="H10" s="144"/>
    </x:row>
    <x:row r="11" ht="30" customHeight="1">
      <x:c r="A11" s="146" t="str">
        <x:v>Scenario</x:v>
      </x:c>
      <x:c r="B11" s="146" t="str">
        <x:v>Required scenario</x:v>
      </x:c>
      <x:c r="C11" s="146" t="str">
        <x:v>Evidence</x:v>
      </x:c>
      <x:c r="D11" s="146" t="str">
        <x:v>Direct prototype route</x:v>
      </x:c>
      <x:c r="E11" s="146" t="str">
        <x:v>Outcome class</x:v>
      </x:c>
      <x:c r="F11" s="146" t="str">
        <x:v>Rendered proof</x:v>
      </x:c>
      <x:c r="G11" s="146" t="str">
        <x:v>Knowledge / canon guardrail</x:v>
      </x:c>
      <x:c r="H11" s="146" t="str">
        <x:v>Downstream validation</x:v>
      </x:c>
    </x:row>
    <x:row r="12" ht="54" customHeight="1">
      <x:c r="A12" s="156" t="str">
        <x:v>SCN-01</x:v>
      </x:c>
      <x:c r="B12" s="156" t="str">
        <x:v>First meaningful choice within 90 seconds</x:v>
      </x:c>
      <x:c r="C12" s="158" t="str">
        <x:v>Demonstrated</x:v>
      </x:c>
      <x:c r="D12" s="156" t="str">
        <x:v>Entry → Resume exact Stage → marker / Intent Dock</x:v>
      </x:c>
      <x:c r="E12" s="156" t="str">
        <x:v>Success baseline</x:v>
      </x:c>
      <x:c r="F12" s="156" t="str">
        <x:v>Campaign truth, world pressure and free intent are visible without a manual.</x:v>
      </x:c>
      <x:c r="G12" s="156" t="str">
        <x:v>Drafting advances neither Ledger Time nor canon.</x:v>
      </x:c>
      <x:c r="H12" s="156" t="str">
        <x:v>Timed human usability test</x:v>
      </x:c>
    </x:row>
    <x:row r="13" ht="54" customHeight="1">
      <x:c r="A13" s="159" t="str">
        <x:v>SCN-02</x:v>
      </x:c>
      <x:c r="B13" s="159" t="str">
        <x:v>Expert custom legal build and BP audit</x:v>
      </x:c>
      <x:c r="C13" s="161" t="str">
        <x:v>Review fixture</x:v>
      </x:c>
      <x:c r="D13" s="159" t="str">
        <x:v>Character → BP Ledger → Draft advancement</x:v>
      </x:c>
      <x:c r="E13" s="159" t="str">
        <x:v>Conflict / stale state</x:v>
      </x:c>
      <x:c r="F13" s="159" t="str">
        <x:v>Auditable grant and zero-spend draft states are rendered.</x:v>
      </x:c>
      <x:c r="G13" s="159" t="str">
        <x:v>Final build legality remains engine-authoritative.</x:v>
      </x:c>
      <x:c r="H13" s="159" t="str">
        <x:v>Phase 6 validator contract + expert usability</x:v>
      </x:c>
    </x:row>
    <x:row r="14" ht="54" customHeight="1">
      <x:c r="A14" s="156" t="str">
        <x:v>SCN-03</x:v>
      </x:c>
      <x:c r="B14" s="156" t="str">
        <x:v>Ordinary survivor begins without Awakening</x:v>
      </x:c>
      <x:c r="C14" s="161" t="str">
        <x:v>Review fixture</x:v>
      </x:c>
      <x:c r="D14" s="156" t="str">
        <x:v>Character → identity / capability record</x:v>
      </x:c>
      <x:c r="E14" s="156" t="str">
        <x:v>Unavailability</x:v>
      </x:c>
      <x:c r="F14" s="156" t="str">
        <x:v>Identity structure does not require Awakening spectacle.</x:v>
      </x:c>
      <x:c r="G14" s="156" t="str">
        <x:v>Illustrative responder is not canon.</x:v>
      </x:c>
      <x:c r="H14" s="156" t="str">
        <x:v>Creation fixture + ordinary-entry test</x:v>
      </x:c>
    </x:row>
    <x:row r="15" ht="54" customHeight="1">
      <x:c r="A15" s="159" t="str">
        <x:v>SCN-04</x:v>
      </x:c>
      <x:c r="B15" s="159" t="str">
        <x:v>Absurd but causally possible action</x:v>
      </x:c>
      <x:c r="C15" s="158" t="str">
        <x:v>Demonstrated</x:v>
      </x:c>
      <x:c r="D15" s="159" t="str">
        <x:v>Holdings → Item comparison → ceremonial cannon</x:v>
      </x:c>
      <x:c r="E15" s="159" t="str">
        <x:v>Success baseline</x:v>
      </x:c>
      <x:c r="F15" s="159" t="str">
        <x:v>Physical usefulness is compared separately from access and permission.</x:v>
      </x:c>
      <x:c r="G15" s="159" t="str">
        <x:v>Possibility never implies ownership, legality or guaranteed success.</x:v>
      </x:c>
      <x:c r="H15" s="159" t="str">
        <x:v>Live object/query contract</x:v>
      </x:c>
    </x:row>
    <x:row r="16" ht="54" customHeight="1">
      <x:c r="A16" s="156" t="str">
        <x:v>SCN-05</x:v>
      </x:c>
      <x:c r="B16" s="156" t="str">
        <x:v>Impossible action revised by method</x:v>
      </x:c>
      <x:c r="C16" s="158" t="str">
        <x:v>Demonstrated</x:v>
      </x:c>
      <x:c r="D16" s="156" t="str">
        <x:v>Stage → Impossible method → Revision</x:v>
      </x:c>
      <x:c r="E16" s="156" t="str">
        <x:v>Impossible / invalid</x:v>
      </x:c>
      <x:c r="F16" s="156" t="str">
        <x:v>Goal and draft survive a concrete lamp-cage load blocker.</x:v>
      </x:c>
      <x:c r="G16" s="156" t="str">
        <x:v>No secret solution or hidden actor information leaks.</x:v>
      </x:c>
      <x:c r="H16" s="156" t="str">
        <x:v>Actor-safe rejection payload contract</x:v>
      </x:c>
    </x:row>
    <x:row r="17" ht="54" customHeight="1">
      <x:c r="A17" s="159" t="str">
        <x:v>SCN-06</x:v>
      </x:c>
      <x:c r="B17" s="159" t="str">
        <x:v>Injury, survival, equipment and law overload</x:v>
      </x:c>
      <x:c r="C17" s="158" t="str">
        <x:v>Demonstrated</x:v>
      </x:c>
      <x:c r="D17" s="159" t="str">
        <x:v>Stage → Harm / tactics → connected records</x:v>
      </x:c>
      <x:c r="E17" s="159" t="str">
        <x:v>Interruption</x:v>
      </x:c>
      <x:c r="F17" s="159" t="str">
        <x:v>Urgent Wound and decision window intensify the Stage; deeper detail stays nearby.</x:v>
      </x:c>
      <x:c r="G17" s="159" t="str">
        <x:v>Wound, Vitality, defeat, property and authority remain separate.</x:v>
      </x:c>
      <x:c r="H17" s="159" t="str">
        <x:v>High-density usability + live reducers</x:v>
      </x:c>
    </x:row>
    <x:row r="18" ht="54" customHeight="1">
      <x:c r="A18" s="156" t="str">
        <x:v>SCN-07</x:v>
      </x:c>
      <x:c r="B18" s="156" t="str">
        <x:v>Companion refuses an order</x:v>
      </x:c>
      <x:c r="C18" s="158" t="str">
        <x:v>Demonstrated</x:v>
      </x:c>
      <x:c r="D18" s="156" t="str">
        <x:v>Stage → Autonomous refusal</x:v>
      </x:c>
      <x:c r="E18" s="156" t="str">
        <x:v>Refusal</x:v>
      </x:c>
      <x:c r="F18" s="156" t="str">
        <x:v>Boundary, exact speech and counterproposal are distinct from validation.</x:v>
      </x:c>
      <x:c r="G18" s="156" t="str">
        <x:v>No private motive or obedience meter is shown.</x:v>
      </x:c>
      <x:c r="H18" s="156" t="str">
        <x:v>Autonomous actor response contract</x:v>
      </x:c>
    </x:row>
    <x:row r="19" ht="54" customHeight="1">
      <x:c r="A19" s="159" t="str">
        <x:v>SCN-08</x:v>
      </x:c>
      <x:c r="B19" s="159" t="str">
        <x:v>Sapient Relic lies, negotiates or rejects access</x:v>
      </x:c>
      <x:c r="C19" s="158" t="str">
        <x:v>Demonstrated</x:v>
      </x:c>
      <x:c r="D19" s="159" t="str">
        <x:v>Character → Relic Bond; Stage → refusal</x:v>
      </x:c>
      <x:c r="E19" s="159" t="str">
        <x:v>Refusal</x:v>
      </x:c>
      <x:c r="F19" s="159" t="str">
        <x:v>Agency 3, speech, custody, Claim, Attunement and Bond remain distinct.</x:v>
      </x:c>
      <x:c r="G19" s="159" t="str">
        <x:v>Conversation never implies ownership or obedience.</x:v>
      </x:c>
      <x:c r="H19" s="159" t="str">
        <x:v>Relic knowledge/agency contract</x:v>
      </x:c>
    </x:row>
    <x:row r="20" ht="54" customHeight="1">
      <x:c r="A20" s="156" t="str">
        <x:v>SCN-09</x:v>
      </x:c>
      <x:c r="B20" s="156" t="str">
        <x:v>Player lost while engine retains exact position</x:v>
      </x:c>
      <x:c r="C20" s="158" t="str">
        <x:v>Demonstrated</x:v>
      </x:c>
      <x:c r="D20" s="156" t="str">
        <x:v>World → knowledge-safe map</x:v>
      </x:c>
      <x:c r="E20" s="156" t="str">
        <x:v>Mixed / failure</x:v>
      </x:c>
      <x:c r="F20" s="156" t="str">
        <x:v>Believed position and confidence replace hidden engine coordinates.</x:v>
      </x:c>
      <x:c r="G20" s="156" t="str">
        <x:v>Only player-accessible position and route knowledge renders.</x:v>
      </x:c>
      <x:c r="H20" s="156" t="str">
        <x:v>Knowledge-map reducer canary</x:v>
      </x:c>
    </x:row>
    <x:row r="21" ht="54" customHeight="1">
      <x:c r="A21" s="159" t="str">
        <x:v>SCN-10</x:v>
      </x:c>
      <x:c r="B21" s="159" t="str">
        <x:v>Investigation without hidden-canon leakage</x:v>
      </x:c>
      <x:c r="C21" s="158" t="str">
        <x:v>Demonstrated</x:v>
      </x:c>
      <x:c r="D21" s="159" t="str">
        <x:v>World → Evidence Claim EVD-BW-004</x:v>
      </x:c>
      <x:c r="E21" s="159" t="str">
        <x:v>Unavailability</x:v>
      </x:c>
      <x:c r="F21" s="159" t="str">
        <x:v>Source, confidence, custody and contradiction remain separate.</x:v>
      </x:c>
      <x:c r="G21" s="159" t="str">
        <x:v>Evidence never becomes omniscient truth.</x:v>
      </x:c>
      <x:c r="H21" s="159" t="str">
        <x:v>Mystery fixture + leakage canary</x:v>
      </x:c>
    </x:row>
    <x:row r="22" ht="54" customHeight="1">
      <x:c r="A22" s="156" t="str">
        <x:v>SCN-11</x:v>
      </x:c>
      <x:c r="B22" s="156" t="str">
        <x:v>Player destroys site or kills faction leader</x:v>
      </x:c>
      <x:c r="C22" s="161" t="str">
        <x:v>Review fixture</x:v>
      </x:c>
      <x:c r="D22" s="156" t="str">
        <x:v>World → Front/law; Chronicle → durable event</x:v>
      </x:c>
      <x:c r="E22" s="156" t="str">
        <x:v>Destructive consequence</x:v>
      </x:c>
      <x:c r="F22" s="156" t="str">
        <x:v>Persistent topology, succession and aftermath presentation is specified.</x:v>
      </x:c>
      <x:c r="G22" s="156" t="str">
        <x:v>B4 does not invent a canonical destruction event.</x:v>
      </x:c>
      <x:c r="H22" s="156" t="str">
        <x:v>Phase 6 persistence/reducer contract</x:v>
      </x:c>
    </x:row>
    <x:row r="23" ht="54" customHeight="1">
      <x:c r="A23" s="159" t="str">
        <x:v>SCN-12</x:v>
      </x:c>
      <x:c r="B23" s="159" t="str">
        <x:v>Protagonist dies and play continues</x:v>
      </x:c>
      <x:c r="C23" s="158" t="str">
        <x:v>Demonstrated</x:v>
      </x:c>
      <x:c r="D23" s="159" t="str">
        <x:v>Stage → Defeat / continuation</x:v>
      </x:c>
      <x:c r="E23" s="159" t="str">
        <x:v>Destructive consequence</x:v>
      </x:c>
      <x:c r="F23" s="159" t="str">
        <x:v>Downed, death, Threshold, succession and afterlife remain navigable and distinct.</x:v>
      </x:c>
      <x:c r="G23" s="159" t="str">
        <x:v>Zero Vitality is not silently reclassified as death.</x:v>
      </x:c>
      <x:c r="H23" s="159" t="str">
        <x:v>Continuation state-machine contract</x:v>
      </x:c>
    </x:row>
    <x:row r="24" ht="54" customHeight="1">
      <x:c r="A24" s="156" t="str">
        <x:v>SCN-13</x:v>
      </x:c>
      <x:c r="B24" s="156" t="str">
        <x:v>Player leaves BREAKWATER while Fronts continue</x:v>
      </x:c>
      <x:c r="C24" s="161" t="str">
        <x:v>Review fixture</x:v>
      </x:c>
      <x:c r="D24" s="156" t="str">
        <x:v>World → Journey + Front pressure</x:v>
      </x:c>
      <x:c r="E24" s="156" t="str">
        <x:v>Interruption</x:v>
      </x:c>
      <x:c r="F24" s="156" t="str">
        <x:v>World processes and qualitative pressure remain independent of protagonist presence.</x:v>
      </x:c>
      <x:c r="G24" s="156" t="str">
        <x:v>No secret Front clock or offscreen certainty appears.</x:v>
      </x:c>
      <x:c r="H24" s="156" t="str">
        <x:v>Offscreen simulation/event digest contract</x:v>
      </x:c>
    </x:row>
    <x:row r="25" ht="54" customHeight="1">
      <x:c r="A25" s="159" t="str">
        <x:v>SCN-14</x:v>
      </x:c>
      <x:c r="B25" s="159" t="str">
        <x:v>Comic production runs for extended period</x:v>
      </x:c>
      <x:c r="C25" s="158" t="str">
        <x:v>Demonstrated</x:v>
      </x:c>
      <x:c r="D25" s="159" t="str">
        <x:v>Chronicle → Comic Job</x:v>
      </x:c>
      <x:c r="E25" s="159" t="str">
        <x:v>Unavailability</x:v>
      </x:c>
      <x:c r="F25" s="159" t="str">
        <x:v>Named durable stages appear without percentages; gameplay continues.</x:v>
      </x:c>
      <x:c r="G25" s="159" t="str">
        <x:v>Production neither creates nor outruns campaign canon.</x:v>
      </x:c>
      <x:c r="H25" s="159" t="str">
        <x:v>Queue/provider durability tests</x:v>
      </x:c>
    </x:row>
    <x:row r="26" ht="54" customHeight="1">
      <x:c r="A26" s="156" t="str">
        <x:v>SCN-15</x:v>
      </x:c>
      <x:c r="B26" s="156" t="str">
        <x:v>Issue #0 skipped entirely</x:v>
      </x:c>
      <x:c r="C26" s="161" t="str">
        <x:v>Review fixture</x:v>
      </x:c>
      <x:c r="D26" s="156" t="str">
        <x:v>Chronicle → unavailable Comic Reader</x:v>
      </x:c>
      <x:c r="E26" s="156" t="str">
        <x:v>Refusal</x:v>
      </x:c>
      <x:c r="F26" s="156" t="str">
        <x:v>Empty reader and optional production do not block the campaign.</x:v>
      </x:c>
      <x:c r="G26" s="156" t="str">
        <x:v>No WIP is mislabeled as published or mandatory.</x:v>
      </x:c>
      <x:c r="H26" s="156" t="str">
        <x:v>Onboarding skip fixture</x:v>
      </x:c>
    </x:row>
    <x:row r="27" ht="54" customHeight="1">
      <x:c r="A27" s="159" t="str">
        <x:v>SCN-16</x:v>
      </x:c>
      <x:c r="B27" s="159" t="str">
        <x:v>Screen-reader and reduced-input core loop</x:v>
      </x:c>
      <x:c r="C27" s="158" t="str">
        <x:v>Demonstrated</x:v>
      </x:c>
      <x:c r="D27" s="159" t="str">
        <x:v>Library CMP-35–40; Stage alternate input</x:v>
      </x:c>
      <x:c r="E27" s="159" t="str">
        <x:v>Interruption</x:v>
      </x:c>
      <x:c r="F27" s="159" t="str">
        <x:v>Landmarks, focus, live regions, alternate input and motion substitutes are rendered.</x:v>
      </x:c>
      <x:c r="G27" s="159" t="str">
        <x:v>Artifact evidence is not an assistive-technology test claim.</x:v>
      </x:c>
      <x:c r="H27" s="159" t="str">
        <x:v>AT matrix + keyboard usability</x:v>
      </x:c>
    </x:row>
    <x:row r="28" ht="54" customHeight="1">
      <x:c r="A28" s="156" t="str">
        <x:v>SCN-17</x:v>
      </x:c>
      <x:c r="B28" s="156" t="str">
        <x:v>Mobile presentation under constrained space</x:v>
      </x:c>
      <x:c r="C28" s="163" t="str">
        <x:v>Responsive reference</x:v>
      </x:c>
      <x:c r="D28" s="156" t="str">
        <x:v>Responsive rules → compact Stage composition</x:v>
      </x:c>
      <x:c r="E28" s="156" t="str">
        <x:v>Conflict / stale state</x:v>
      </x:c>
      <x:c r="F28" s="156" t="str">
        <x:v>Reflow retains Stage, records and preserved drafts at constrained widths.</x:v>
      </x:c>
      <x:c r="G28" s="156" t="str">
        <x:v>Desktop browser remains the primary target.</x:v>
      </x:c>
      <x:c r="H28" s="156" t="str">
        <x:v>Real-device capability-parity test</x:v>
      </x:c>
    </x:row>
    <x:row r="29">
      <x:c r="A29"/>
      <x:c r="B29"/>
      <x:c r="C29"/>
      <x:c r="D29"/>
      <x:c r="E29"/>
      <x:c r="F29"/>
      <x:c r="G29"/>
      <x:c r="H29"/>
    </x:row>
    <x:row r="30">
      <x:c r="A30"/>
      <x:c r="B30"/>
      <x:c r="C30"/>
      <x:c r="D30"/>
      <x:c r="E30"/>
      <x:c r="F30"/>
      <x:c r="G30"/>
      <x:c r="H30"/>
    </x:row>
    <x:row r="31" ht="24" customHeight="1">
      <x:c r="A31" s="144" t="str">
        <x:v>OUTCOME VOCABULARY • SUCCESS BASELINE + 7 EXCEPTION CLASSES</x:v>
      </x:c>
      <x:c r="B31" s="144"/>
      <x:c r="C31" s="144"/>
      <x:c r="D31" s="144"/>
      <x:c r="E31" s="144"/>
      <x:c r="F31"/>
      <x:c r="G31"/>
      <x:c r="H31"/>
    </x:row>
    <x:row r="32" ht="30" customHeight="1">
      <x:c r="A32" s="146" t="str">
        <x:v>Count</x:v>
      </x:c>
      <x:c r="B32" s="146" t="str">
        <x:v>Outcome</x:v>
      </x:c>
      <x:c r="C32" s="146" t="str">
        <x:v>UX obligation</x:v>
      </x:c>
      <x:c r="D32" s="146" t="str">
        <x:v>Prototype evidence</x:v>
      </x:c>
      <x:c r="E32" s="146" t="str">
        <x:v>Status</x:v>
      </x:c>
      <x:c r="F32"/>
      <x:c r="G32"/>
      <x:c r="H32"/>
    </x:row>
    <x:row r="33" ht="38" customHeight="1">
      <x:c r="A33" s="164" t="str">
        <x:v>Baseline</x:v>
      </x:c>
      <x:c r="B33" s="164" t="str">
        <x:v>Success</x:v>
      </x:c>
      <x:c r="C33" s="164" t="str">
        <x:v>Committed world change, cost, receipt and legal continuation</x:v>
      </x:c>
      <x:c r="D33" s="164" t="str">
        <x:v>Core loop outcome / receipt</x:v>
      </x:c>
      <x:c r="E33" s="158" t="str">
        <x:v>Mapped</x:v>
      </x:c>
      <x:c r="F33"/>
      <x:c r="G33"/>
      <x:c r="H33"/>
    </x:row>
    <x:row r="34" ht="38" customHeight="1">
      <x:c r="A34" s="156" t="str">
        <x:v>Exception 1</x:v>
      </x:c>
      <x:c r="B34" s="156" t="str">
        <x:v>Mixed / failure</x:v>
      </x:c>
      <x:c r="C34" s="156" t="str">
        <x:v>Worse supported outcome changes play instead of ending it</x:v>
      </x:c>
      <x:c r="D34" s="156" t="str">
        <x:v>SCN-04; mixed gate outcome</x:v>
      </x:c>
      <x:c r="E34" s="158" t="str">
        <x:v>Mapped</x:v>
      </x:c>
      <x:c r="F34"/>
      <x:c r="G34"/>
      <x:c r="H34"/>
    </x:row>
    <x:row r="35" ht="38" customHeight="1">
      <x:c r="A35" s="159" t="str">
        <x:v>Exception 2</x:v>
      </x:c>
      <x:c r="B35" s="159" t="str">
        <x:v>Refusal</x:v>
      </x:c>
      <x:c r="C35" s="159" t="str">
        <x:v>Autonomous boundary is distinct from validation</x:v>
      </x:c>
      <x:c r="D35" s="159" t="str">
        <x:v>SCN-07/08; refusal panel</x:v>
      </x:c>
      <x:c r="E35" s="158" t="str">
        <x:v>Mapped</x:v>
      </x:c>
      <x:c r="F35"/>
      <x:c r="G35"/>
      <x:c r="H35"/>
    </x:row>
    <x:row r="36" ht="38" customHeight="1">
      <x:c r="A36" s="156" t="str">
        <x:v>Exception 3</x:v>
      </x:c>
      <x:c r="B36" s="156" t="str">
        <x:v>Interruption</x:v>
      </x:c>
      <x:c r="C36" s="156" t="str">
        <x:v>Draft, work and return context survive</x:v>
      </x:c>
      <x:c r="D36" s="156" t="str">
        <x:v>SCN-06/13; draft bar + world continuation</x:v>
      </x:c>
      <x:c r="E36" s="158" t="str">
        <x:v>Mapped</x:v>
      </x:c>
      <x:c r="F36"/>
      <x:c r="G36"/>
      <x:c r="H36"/>
    </x:row>
    <x:row r="37" ht="38" customHeight="1">
      <x:c r="A37" s="159" t="str">
        <x:v>Exception 4</x:v>
      </x:c>
      <x:c r="B37" s="159" t="str">
        <x:v>Unavailability</x:v>
      </x:c>
      <x:c r="C37" s="159" t="str">
        <x:v>Absent, blocked, destroyed, queued and retryable stay distinct</x:v>
      </x:c>
      <x:c r="D37" s="159" t="str">
        <x:v>SCN-03/10/14; records + queue</x:v>
      </x:c>
      <x:c r="E37" s="158" t="str">
        <x:v>Mapped</x:v>
      </x:c>
      <x:c r="F37"/>
      <x:c r="G37"/>
      <x:c r="H37"/>
    </x:row>
    <x:row r="38" ht="38" customHeight="1">
      <x:c r="A38" s="156" t="str">
        <x:v>Exception 5</x:v>
      </x:c>
      <x:c r="B38" s="156" t="str">
        <x:v>Impossible / invalid</x:v>
      </x:c>
      <x:c r="C38" s="156" t="str">
        <x:v>Goal survives a causal or rule blocker</x:v>
      </x:c>
      <x:c r="D38" s="156" t="str">
        <x:v>SCN-05; revision panel</x:v>
      </x:c>
      <x:c r="E38" s="158" t="str">
        <x:v>Mapped</x:v>
      </x:c>
      <x:c r="F38"/>
      <x:c r="G38"/>
      <x:c r="H38"/>
    </x:row>
    <x:row r="39" ht="38" customHeight="1">
      <x:c r="A39" s="159" t="str">
        <x:v>Exception 6</x:v>
      </x:c>
      <x:c r="B39" s="159" t="str">
        <x:v>Destructive consequence</x:v>
      </x:c>
      <x:c r="C39" s="159" t="str">
        <x:v>Damage, death, loss and topology persist</x:v>
      </x:c>
      <x:c r="D39" s="159" t="str">
        <x:v>SCN-11/12; defeat + persistence contract</x:v>
      </x:c>
      <x:c r="E39" s="158" t="str">
        <x:v>Mapped</x:v>
      </x:c>
      <x:c r="F39"/>
      <x:c r="G39"/>
      <x:c r="H39"/>
    </x:row>
    <x:row r="40" ht="38" customHeight="1">
      <x:c r="A40" s="156" t="str">
        <x:v>Exception 7</x:v>
      </x:c>
      <x:c r="B40" s="156" t="str">
        <x:v>Conflict / stale state</x:v>
      </x:c>
      <x:c r="C40" s="156" t="str">
        <x:v>Visible versions compare before reconciliation</x:v>
      </x:c>
      <x:c r="D40" s="156" t="str">
        <x:v>SCN-02/17; Phase 6 rebase contract</x:v>
      </x:c>
      <x:c r="E40" s="158" t="str">
        <x:v>Mapped</x:v>
      </x:c>
      <x:c r="F40"/>
      <x:c r="G40"/>
      <x:c r="H40"/>
    </x:row>
    <x:row r="41">
      <x:c r="A41"/>
      <x:c r="B41"/>
      <x:c r="C41"/>
      <x:c r="D41"/>
      <x:c r="E41"/>
      <x:c r="F41"/>
      <x:c r="G41"/>
      <x:c r="H41"/>
    </x:row>
    <x:row r="42" ht="24" customHeight="1">
      <x:c r="A42" s="144" t="str">
        <x:v>COMPONENT-TO-EVIDENCE TRACE</x:v>
      </x:c>
      <x:c r="B42" s="144"/>
      <x:c r="C42" s="144"/>
      <x:c r="D42" s="144"/>
      <x:c r="E42" s="144"/>
      <x:c r="F42" s="144"/>
      <x:c r="G42" s="144"/>
      <x:c r="H42" s="144"/>
    </x:row>
    <x:row r="43" ht="30" customHeight="1">
      <x:c r="A43" s="146" t="str">
        <x:v>Component</x:v>
      </x:c>
      <x:c r="B43" s="146" t="str">
        <x:v>Name</x:v>
      </x:c>
      <x:c r="C43" s="146" t="str">
        <x:v>Rendered surface</x:v>
      </x:c>
      <x:c r="D43" s="146" t="str">
        <x:v>Evidence state</x:v>
      </x:c>
      <x:c r="E43" s="146" t="str">
        <x:v>UX obligation</x:v>
      </x:c>
      <x:c r="F43" s="146" t="str">
        <x:v>Scenario hooks</x:v>
      </x:c>
      <x:c r="G43" s="146" t="str">
        <x:v>Phase 6 boundary</x:v>
      </x:c>
      <x:c r="H43" s="146" t="str">
        <x:v>Status</x:v>
      </x:c>
    </x:row>
    <x:row r="44" ht="42" customHeight="1">
      <x:c r="A44" s="156" t="str">
        <x:v>CMP-01</x:v>
      </x:c>
      <x:c r="B44" s="156" t="str">
        <x:v>World Strip</x:v>
      </x:c>
      <x:c r="C44" s="156" t="str">
        <x:v>Global shell</x:v>
      </x:c>
      <x:c r="D44" s="158" t="str">
        <x:v>Rendered</x:v>
      </x:c>
      <x:c r="E44" s="156" t="str">
        <x:v>Ledger Time, viewpoint, weather, pressure and status</x:v>
      </x:c>
      <x:c r="F44" s="156" t="str">
        <x:v>SCN-01, 13</x:v>
      </x:c>
      <x:c r="G44" s="156" t="str">
        <x:v>Live campaign-status projection</x:v>
      </x:c>
      <x:c r="H44" s="158" t="str">
        <x:v>Mapped</x:v>
      </x:c>
    </x:row>
    <x:row r="45" ht="42" customHeight="1">
      <x:c r="A45" s="159" t="str">
        <x:v>CMP-02</x:v>
      </x:c>
      <x:c r="B45" s="159" t="str">
        <x:v>Campaign Rail</x:v>
      </x:c>
      <x:c r="C45" s="159" t="str">
        <x:v>Playable reference</x:v>
      </x:c>
      <x:c r="D45" s="158" t="str">
        <x:v>Rendered</x:v>
      </x:c>
      <x:c r="E45" s="159" t="str">
        <x:v>Six stable destinations; Stage remains gravitational center</x:v>
      </x:c>
      <x:c r="F45" s="159" t="str">
        <x:v>SCN-01, 06</x:v>
      </x:c>
      <x:c r="G45" s="159" t="str">
        <x:v>Routing + draft persistence</x:v>
      </x:c>
      <x:c r="H45" s="158" t="str">
        <x:v>Mapped</x:v>
      </x:c>
    </x:row>
    <x:row r="46" ht="42" customHeight="1">
      <x:c r="A46" s="156" t="str">
        <x:v>CMP-03</x:v>
      </x:c>
      <x:c r="B46" s="156" t="str">
        <x:v>Active Surface Header</x:v>
      </x:c>
      <x:c r="C46" s="156" t="str">
        <x:v>Stage + records</x:v>
      </x:c>
      <x:c r="D46" s="158" t="str">
        <x:v>Rendered</x:v>
      </x:c>
      <x:c r="E46" s="156" t="str">
        <x:v>Viewpoint, knowledge class and fixture boundary</x:v>
      </x:c>
      <x:c r="F46" s="156" t="str">
        <x:v>SCN-01, 09</x:v>
      </x:c>
      <x:c r="G46" s="156" t="str">
        <x:v>View-model contract</x:v>
      </x:c>
      <x:c r="H46" s="158" t="str">
        <x:v>Mapped</x:v>
      </x:c>
    </x:row>
    <x:row r="47" ht="42" customHeight="1">
      <x:c r="A47" s="159" t="str">
        <x:v>CMP-04</x:v>
      </x:c>
      <x:c r="B47" s="159" t="str">
        <x:v>Context Lens</x:v>
      </x:c>
      <x:c r="C47" s="159" t="str">
        <x:v>Living Stage</x:v>
      </x:c>
      <x:c r="D47" s="158" t="str">
        <x:v>Rendered</x:v>
      </x:c>
      <x:c r="E47" s="159" t="str">
        <x:v>One inspected entity without leaving the world</x:v>
      </x:c>
      <x:c r="F47" s="159" t="str">
        <x:v>SCN-07, 08</x:v>
      </x:c>
      <x:c r="G47" s="159" t="str">
        <x:v>Entity projection</x:v>
      </x:c>
      <x:c r="H47" s="158" t="str">
        <x:v>Mapped</x:v>
      </x:c>
    </x:row>
    <x:row r="48" ht="42" customHeight="1">
      <x:c r="A48" s="156" t="str">
        <x:v>CMP-05</x:v>
      </x:c>
      <x:c r="B48" s="156" t="str">
        <x:v>Intent Dock</x:v>
      </x:c>
      <x:c r="C48" s="156" t="str">
        <x:v>Living Stage</x:v>
      </x:c>
      <x:c r="D48" s="158" t="str">
        <x:v>Rendered</x:v>
      </x:c>
      <x:c r="E48" s="156" t="str">
        <x:v>Free goal/method control that is not a chat composer</x:v>
      </x:c>
      <x:c r="F48" s="156" t="str">
        <x:v>SCN-01, 05, 16</x:v>
      </x:c>
      <x:c r="G48" s="156" t="str">
        <x:v>Intent parser + input adapters</x:v>
      </x:c>
      <x:c r="H48" s="158" t="str">
        <x:v>Mapped</x:v>
      </x:c>
    </x:row>
    <x:row r="49" ht="42" customHeight="1">
      <x:c r="A49" s="159" t="str">
        <x:v>CMP-06</x:v>
      </x:c>
      <x:c r="B49" s="159" t="str">
        <x:v>Chronicle Ribbon</x:v>
      </x:c>
      <x:c r="C49" s="159" t="str">
        <x:v>Living Stage</x:v>
      </x:c>
      <x:c r="D49" s="158" t="str">
        <x:v>Rendered</x:v>
      </x:c>
      <x:c r="E49" s="159" t="str">
        <x:v>Recent canon and provenance without transcript gravity</x:v>
      </x:c>
      <x:c r="F49" s="159" t="str">
        <x:v>SCN-11, 14</x:v>
      </x:c>
      <x:c r="G49" s="159" t="str">
        <x:v>Event stream projection</x:v>
      </x:c>
      <x:c r="H49" s="158" t="str">
        <x:v>Mapped</x:v>
      </x:c>
    </x:row>
    <x:row r="50" ht="42" customHeight="1">
      <x:c r="A50" s="156" t="str">
        <x:v>CMP-07</x:v>
      </x:c>
      <x:c r="B50" s="156" t="str">
        <x:v>Attention Notice</x:v>
      </x:c>
      <x:c r="C50" s="156" t="str">
        <x:v>System Library</x:v>
      </x:c>
      <x:c r="D50" s="158" t="str">
        <x:v>Rendered</x:v>
      </x:c>
      <x:c r="E50" s="156" t="str">
        <x:v>Due, changed and unavailable states carry noncolor cues</x:v>
      </x:c>
      <x:c r="F50" s="156" t="str">
        <x:v>SCN-06, 16</x:v>
      </x:c>
      <x:c r="G50" s="156" t="str">
        <x:v>Aggregation policy GAP-005</x:v>
      </x:c>
      <x:c r="H50" s="158" t="str">
        <x:v>Mapped</x:v>
      </x:c>
    </x:row>
    <x:row r="51" ht="42" customHeight="1">
      <x:c r="A51" s="159" t="str">
        <x:v>CMP-08</x:v>
      </x:c>
      <x:c r="B51" s="159" t="str">
        <x:v>Draft Preservation Bar</x:v>
      </x:c>
      <x:c r="C51" s="159" t="str">
        <x:v>Intent Dock</x:v>
      </x:c>
      <x:c r="D51" s="158" t="str">
        <x:v>Rendered</x:v>
      </x:c>
      <x:c r="E51" s="159" t="str">
        <x:v>Uncommitted work survives navigation and interruption</x:v>
      </x:c>
      <x:c r="F51" s="159" t="str">
        <x:v>SCN-05, 06, 16</x:v>
      </x:c>
      <x:c r="G51" s="159" t="str">
        <x:v>Draft persistence/rebase</x:v>
      </x:c>
      <x:c r="H51" s="158" t="str">
        <x:v>Mapped</x:v>
      </x:c>
    </x:row>
    <x:row r="52" ht="42" customHeight="1">
      <x:c r="A52" s="156" t="str">
        <x:v>CMP-09</x:v>
      </x:c>
      <x:c r="B52" s="156" t="str">
        <x:v>Scene Frame</x:v>
      </x:c>
      <x:c r="C52" s="156" t="str">
        <x:v>Living Stage</x:v>
      </x:c>
      <x:c r="D52" s="158" t="str">
        <x:v>Rendered</x:v>
      </x:c>
      <x:c r="E52" s="156" t="str">
        <x:v>Geography, actors, objects and world continuity</x:v>
      </x:c>
      <x:c r="F52" s="156" t="str">
        <x:v>SCN-01, 06</x:v>
      </x:c>
      <x:c r="G52" s="156" t="str">
        <x:v>Scene projection + asset fallback</x:v>
      </x:c>
      <x:c r="H52" s="158" t="str">
        <x:v>Mapped</x:v>
      </x:c>
    </x:row>
    <x:row r="53" ht="42" customHeight="1">
      <x:c r="A53" s="159" t="str">
        <x:v>CMP-10</x:v>
      </x:c>
      <x:c r="B53" s="159" t="str">
        <x:v>Exact Speech Block</x:v>
      </x:c>
      <x:c r="C53" s="159" t="str">
        <x:v>Context Lens</x:v>
      </x:c>
      <x:c r="D53" s="158" t="str">
        <x:v>Rendered</x:v>
      </x:c>
      <x:c r="E53" s="159" t="str">
        <x:v>Speech remains bound to its speaking entity</x:v>
      </x:c>
      <x:c r="F53" s="159" t="str">
        <x:v>SCN-07, 08</x:v>
      </x:c>
      <x:c r="G53" s="159" t="str">
        <x:v>Dialogue event contract</x:v>
      </x:c>
      <x:c r="H53" s="158" t="str">
        <x:v>Mapped</x:v>
      </x:c>
    </x:row>
    <x:row r="54" ht="42" customHeight="1">
      <x:c r="A54" s="156" t="str">
        <x:v>CMP-11</x:v>
      </x:c>
      <x:c r="B54" s="156" t="str">
        <x:v>Meaningful Marker</x:v>
      </x:c>
      <x:c r="C54" s="156" t="str">
        <x:v>Scene Frame</x:v>
      </x:c>
      <x:c r="D54" s="158" t="str">
        <x:v>Rendered</x:v>
      </x:c>
      <x:c r="E54" s="156" t="str">
        <x:v>Inspectable meaning without a command-menu boundary</x:v>
      </x:c>
      <x:c r="F54" s="156" t="str">
        <x:v>SCN-01</x:v>
      </x:c>
      <x:c r="G54" s="156" t="str">
        <x:v>Knowledge-safe affordances</x:v>
      </x:c>
      <x:c r="H54" s="158" t="str">
        <x:v>Mapped</x:v>
      </x:c>
    </x:row>
    <x:row r="55" ht="42" customHeight="1">
      <x:c r="A55" s="159" t="str">
        <x:v>CMP-12</x:v>
      </x:c>
      <x:c r="B55" s="159" t="str">
        <x:v>Contextual Possibility</x:v>
      </x:c>
      <x:c r="C55" s="159" t="str">
        <x:v>Context Lens</x:v>
      </x:c>
      <x:c r="D55" s="158" t="str">
        <x:v>Rendered</x:v>
      </x:c>
      <x:c r="E55" s="159" t="str">
        <x:v>Relevant affordance is explicitly not a legal-action list</x:v>
      </x:c>
      <x:c r="F55" s="159" t="str">
        <x:v>SCN-04</x:v>
      </x:c>
      <x:c r="G55" s="159" t="str">
        <x:v>Possibility query contract</x:v>
      </x:c>
      <x:c r="H55" s="158" t="str">
        <x:v>Mapped</x:v>
      </x:c>
    </x:row>
    <x:row r="56" ht="42" customHeight="1">
      <x:c r="A56" s="156" t="str">
        <x:v>CMP-13</x:v>
      </x:c>
      <x:c r="B56" s="156" t="str">
        <x:v>Interpreted Action Packet</x:v>
      </x:c>
      <x:c r="C56" s="156" t="str">
        <x:v>Core loop</x:v>
      </x:c>
      <x:c r="D56" s="158" t="str">
        <x:v>Rendered</x:v>
      </x:c>
      <x:c r="E56" s="156" t="str">
        <x:v>Goal, method, objects and assumptions correctable pre-commit</x:v>
      </x:c>
      <x:c r="F56" s="156" t="str">
        <x:v>SCN-04, 05</x:v>
      </x:c>
      <x:c r="G56" s="156" t="str">
        <x:v>Parser proposal schema</x:v>
      </x:c>
      <x:c r="H56" s="158" t="str">
        <x:v>Mapped</x:v>
      </x:c>
    </x:row>
    <x:row r="57" ht="42" customHeight="1">
      <x:c r="A57" s="159" t="str">
        <x:v>CMP-14</x:v>
      </x:c>
      <x:c r="B57" s="159" t="str">
        <x:v>Knowable Forecast</x:v>
      </x:c>
      <x:c r="C57" s="159" t="str">
        <x:v>Core loop</x:v>
      </x:c>
      <x:c r="D57" s="158" t="str">
        <x:v>Rendered</x:v>
      </x:c>
      <x:c r="E57" s="159" t="str">
        <x:v>Accessible time, cost, exposure and uncertainty only</x:v>
      </x:c>
      <x:c r="F57" s="159" t="str">
        <x:v>SCN-05, 10</x:v>
      </x:c>
      <x:c r="G57" s="159" t="str">
        <x:v>Forecast reducer</x:v>
      </x:c>
      <x:c r="H57" s="158" t="str">
        <x:v>Mapped</x:v>
      </x:c>
    </x:row>
    <x:row r="58" ht="42" customHeight="1">
      <x:c r="A58" s="156" t="str">
        <x:v>CMP-15</x:v>
      </x:c>
      <x:c r="B58" s="156" t="str">
        <x:v>Adaptive Commit</x:v>
      </x:c>
      <x:c r="C58" s="156" t="str">
        <x:v>Core loop</x:v>
      </x:c>
      <x:c r="D58" s="158" t="str">
        <x:v>Rendered</x:v>
      </x:c>
      <x:c r="E58" s="156" t="str">
        <x:v>Commitment depth follows consequence materiality</x:v>
      </x:c>
      <x:c r="F58" s="156" t="str">
        <x:v>SCN-01, 04</x:v>
      </x:c>
      <x:c r="G58" s="156" t="str">
        <x:v>Commit/idempotency contract</x:v>
      </x:c>
      <x:c r="H58" s="158" t="str">
        <x:v>Mapped</x:v>
      </x:c>
    </x:row>
    <x:row r="59" ht="42" customHeight="1">
      <x:c r="A59" s="159" t="str">
        <x:v>CMP-16</x:v>
      </x:c>
      <x:c r="B59" s="159" t="str">
        <x:v>Resolution Beat</x:v>
      </x:c>
      <x:c r="C59" s="159" t="str">
        <x:v>Core loop</x:v>
      </x:c>
      <x:c r="D59" s="158" t="str">
        <x:v>Rendered</x:v>
      </x:c>
      <x:c r="E59" s="159" t="str">
        <x:v>Brief, world-connected, skippable and motion-safe</x:v>
      </x:c>
      <x:c r="F59" s="159" t="str">
        <x:v>SCN-16</x:v>
      </x:c>
      <x:c r="G59" s="159" t="str">
        <x:v>Resolution event states</x:v>
      </x:c>
      <x:c r="H59" s="158" t="str">
        <x:v>Mapped</x:v>
      </x:c>
    </x:row>
    <x:row r="60" ht="42" customHeight="1">
      <x:c r="A60" s="156" t="str">
        <x:v>CMP-17</x:v>
      </x:c>
      <x:c r="B60" s="156" t="str">
        <x:v>Outcome Receipt</x:v>
      </x:c>
      <x:c r="C60" s="156" t="str">
        <x:v>Core loop</x:v>
      </x:c>
      <x:c r="D60" s="158" t="str">
        <x:v>Rendered</x:v>
      </x:c>
      <x:c r="E60" s="156" t="str">
        <x:v>Explanation depth follows the visible world result</x:v>
      </x:c>
      <x:c r="F60" s="156" t="str">
        <x:v>SCN-04, 05</x:v>
      </x:c>
      <x:c r="G60" s="156" t="str">
        <x:v>Audit projection</x:v>
      </x:c>
      <x:c r="H60" s="158" t="str">
        <x:v>Mapped</x:v>
      </x:c>
    </x:row>
    <x:row r="61" ht="42" customHeight="1">
      <x:c r="A61" s="159" t="str">
        <x:v>CMP-18</x:v>
      </x:c>
      <x:c r="B61" s="159" t="str">
        <x:v>Decision Window</x:v>
      </x:c>
      <x:c r="C61" s="159" t="str">
        <x:v>Harm Stage</x:v>
      </x:c>
      <x:c r="D61" s="158" t="str">
        <x:v>Rendered</x:v>
      </x:c>
      <x:c r="E61" s="159" t="str">
        <x:v>Urgent closure names time, cause and choices</x:v>
      </x:c>
      <x:c r="F61" s="159" t="str">
        <x:v>SCN-06</x:v>
      </x:c>
      <x:c r="G61" s="159" t="str">
        <x:v>Decision-window payload</x:v>
      </x:c>
      <x:c r="H61" s="158" t="str">
        <x:v>Mapped</x:v>
      </x:c>
    </x:row>
    <x:row r="62" ht="42" customHeight="1">
      <x:c r="A62" s="156" t="str">
        <x:v>CMP-19</x:v>
      </x:c>
      <x:c r="B62" s="156" t="str">
        <x:v>Interrupt Queue</x:v>
      </x:c>
      <x:c r="C62" s="156" t="str">
        <x:v>Stage contract</x:v>
      </x:c>
      <x:c r="D62" s="158" t="str">
        <x:v>Rendered</x:v>
      </x:c>
      <x:c r="E62" s="156" t="str">
        <x:v>Danger pauses action while preserving draft and committed state</x:v>
      </x:c>
      <x:c r="F62" s="156" t="str">
        <x:v>SCN-06, 13</x:v>
      </x:c>
      <x:c r="G62" s="156" t="str">
        <x:v>Interrupt aggregation</x:v>
      </x:c>
      <x:c r="H62" s="158" t="str">
        <x:v>Mapped</x:v>
      </x:c>
    </x:row>
    <x:row r="63" ht="42" customHeight="1">
      <x:c r="A63" s="159" t="str">
        <x:v>CMP-20</x:v>
      </x:c>
      <x:c r="B63" s="159" t="str">
        <x:v>Tactical Emphasis Strip</x:v>
      </x:c>
      <x:c r="C63" s="159" t="str">
        <x:v>Harm Stage</x:v>
      </x:c>
      <x:c r="D63" s="158" t="str">
        <x:v>Rendered</x:v>
      </x:c>
      <x:c r="E63" s="159" t="str">
        <x:v>Combat intensifies the same geography</x:v>
      </x:c>
      <x:c r="F63" s="159" t="str">
        <x:v>SCN-06</x:v>
      </x:c>
      <x:c r="G63" s="159" t="str">
        <x:v>Tactical projection</x:v>
      </x:c>
      <x:c r="H63" s="158" t="str">
        <x:v>Mapped</x:v>
      </x:c>
    </x:row>
    <x:row r="64" ht="42" customHeight="1">
      <x:c r="A64" s="156" t="str">
        <x:v>CMP-21</x:v>
      </x:c>
      <x:c r="B64" s="156" t="str">
        <x:v>BP Ledger</x:v>
      </x:c>
      <x:c r="C64" s="156" t="str">
        <x:v>Character</x:v>
      </x:c>
      <x:c r="D64" s="158" t="str">
        <x:v>Rendered</x:v>
      </x:c>
      <x:c r="E64" s="156" t="str">
        <x:v>Source, spend, prerequisites and unspent BP remain auditable</x:v>
      </x:c>
      <x:c r="F64" s="156" t="str">
        <x:v>SCN-02</x:v>
      </x:c>
      <x:c r="G64" s="156" t="str">
        <x:v>Progression ledger/validator</x:v>
      </x:c>
      <x:c r="H64" s="158" t="str">
        <x:v>Mapped</x:v>
      </x:c>
    </x:row>
    <x:row r="65" ht="42" customHeight="1">
      <x:c r="A65" s="159" t="str">
        <x:v>CMP-22</x:v>
      </x:c>
      <x:c r="B65" s="159" t="str">
        <x:v>Condition / Wound Card</x:v>
      </x:c>
      <x:c r="C65" s="159" t="str">
        <x:v>Character + Harm Stage</x:v>
      </x:c>
      <x:c r="D65" s="158" t="str">
        <x:v>Rendered</x:v>
      </x:c>
      <x:c r="E65" s="159" t="str">
        <x:v>Fiction, severity, family, penalty and treatment remain distinct</x:v>
      </x:c>
      <x:c r="F65" s="159" t="str">
        <x:v>SCN-06</x:v>
      </x:c>
      <x:c r="G65" s="159" t="str">
        <x:v>Condition projection</x:v>
      </x:c>
      <x:c r="H65" s="158" t="str">
        <x:v>Mapped</x:v>
      </x:c>
    </x:row>
    <x:row r="66" ht="42" customHeight="1">
      <x:c r="A66" s="156" t="str">
        <x:v>CMP-23</x:v>
      </x:c>
      <x:c r="B66" s="156" t="str">
        <x:v>Relationship Card</x:v>
      </x:c>
      <x:c r="C66" s="156" t="str">
        <x:v>Character + Company</x:v>
      </x:c>
      <x:c r="D66" s="158" t="str">
        <x:v>Rendered</x:v>
      </x:c>
      <x:c r="E66" s="156" t="str">
        <x:v>Observable evidence and boundaries replace obedience meters</x:v>
      </x:c>
      <x:c r="F66" s="156" t="str">
        <x:v>SCN-07</x:v>
      </x:c>
      <x:c r="G66" s="156" t="str">
        <x:v>Actor-safe relationship projection</x:v>
      </x:c>
      <x:c r="H66" s="158" t="str">
        <x:v>Mapped</x:v>
      </x:c>
    </x:row>
    <x:row r="67" ht="42" customHeight="1">
      <x:c r="A67" s="159" t="str">
        <x:v>CMP-24</x:v>
      </x:c>
      <x:c r="B67" s="159" t="str">
        <x:v>Relic Bond Card</x:v>
      </x:c>
      <x:c r="C67" s="159" t="str">
        <x:v>Character</x:v>
      </x:c>
      <x:c r="D67" s="158" t="str">
        <x:v>Rendered</x:v>
      </x:c>
      <x:c r="E67" s="159" t="str">
        <x:v>Custody, Claim, Attunement, Bond and agency stay separate</x:v>
      </x:c>
      <x:c r="F67" s="159" t="str">
        <x:v>SCN-08</x:v>
      </x:c>
      <x:c r="G67" s="159" t="str">
        <x:v>Relic schema + knowledge policy</x:v>
      </x:c>
      <x:c r="H67" s="158" t="str">
        <x:v>Mapped</x:v>
      </x:c>
    </x:row>
    <x:row r="68" ht="42" customHeight="1">
      <x:c r="A68" s="156" t="str">
        <x:v>CMP-25</x:v>
      </x:c>
      <x:c r="B68" s="156" t="str">
        <x:v>Custody and Access Row</x:v>
      </x:c>
      <x:c r="C68" s="156" t="str">
        <x:v>Holdings</x:v>
      </x:c>
      <x:c r="D68" s="158" t="str">
        <x:v>Rendered</x:v>
      </x:c>
      <x:c r="E68" s="156" t="str">
        <x:v>Owner, holder, location, authority and availability explicit</x:v>
      </x:c>
      <x:c r="F68" s="156" t="str">
        <x:v>SCN-04</x:v>
      </x:c>
      <x:c r="G68" s="156" t="str">
        <x:v>Custody/access query</x:v>
      </x:c>
      <x:c r="H68" s="158" t="str">
        <x:v>Mapped</x:v>
      </x:c>
    </x:row>
    <x:row r="69" ht="42" customHeight="1">
      <x:c r="A69" s="159" t="str">
        <x:v>CMP-26</x:v>
      </x:c>
      <x:c r="B69" s="159" t="str">
        <x:v>Item Comparison</x:v>
      </x:c>
      <x:c r="C69" s="159" t="str">
        <x:v>Holdings</x:v>
      </x:c>
      <x:c r="D69" s="158" t="str">
        <x:v>Rendered</x:v>
      </x:c>
      <x:c r="E69" s="159" t="str">
        <x:v>Task-relative tradeoffs do not imply ownership or universal score</x:v>
      </x:c>
      <x:c r="F69" s="159" t="str">
        <x:v>SCN-04</x:v>
      </x:c>
      <x:c r="G69" s="159" t="str">
        <x:v>Comparison/knowledge contract</x:v>
      </x:c>
      <x:c r="H69" s="158" t="str">
        <x:v>Mapped</x:v>
      </x:c>
    </x:row>
    <x:row r="70" ht="42" customHeight="1">
      <x:c r="A70" s="156" t="str">
        <x:v>CMP-27</x:v>
      </x:c>
      <x:c r="B70" s="156" t="str">
        <x:v>Craft / Repair Plan</x:v>
      </x:c>
      <x:c r="C70" s="156" t="str">
        <x:v>Holdings</x:v>
      </x:c>
      <x:c r="D70" s="158" t="str">
        <x:v>Rendered</x:v>
      </x:c>
      <x:c r="E70" s="156" t="str">
        <x:v>Intervals, materials, facility and checkpoints persist</x:v>
      </x:c>
      <x:c r="F70" s="156" t="str">
        <x:v>SCN-06</x:v>
      </x:c>
      <x:c r="G70" s="156" t="str">
        <x:v>Extended-task contract</x:v>
      </x:c>
      <x:c r="H70" s="158" t="str">
        <x:v>Mapped</x:v>
      </x:c>
    </x:row>
    <x:row r="71" ht="42" customHeight="1">
      <x:c r="A71" s="159" t="str">
        <x:v>CMP-28</x:v>
      </x:c>
      <x:c r="B71" s="159" t="str">
        <x:v>Route / Journey Card</x:v>
      </x:c>
      <x:c r="C71" s="159" t="str">
        <x:v>World</x:v>
      </x:c>
      <x:c r="D71" s="158" t="str">
        <x:v>Rendered</x:v>
      </x:c>
      <x:c r="E71" s="159" t="str">
        <x:v>Known legs, roles, supplies, stops and uncertainty</x:v>
      </x:c>
      <x:c r="F71" s="159" t="str">
        <x:v>SCN-09, 13</x:v>
      </x:c>
      <x:c r="G71" s="159" t="str">
        <x:v>Travel-plan contract</x:v>
      </x:c>
      <x:c r="H71" s="158" t="str">
        <x:v>Mapped</x:v>
      </x:c>
    </x:row>
    <x:row r="72" ht="42" customHeight="1">
      <x:c r="A72" s="156" t="str">
        <x:v>CMP-29</x:v>
      </x:c>
      <x:c r="B72" s="156" t="str">
        <x:v>Knowledge-Safe Map</x:v>
      </x:c>
      <x:c r="C72" s="156" t="str">
        <x:v>World</x:v>
      </x:c>
      <x:c r="D72" s="158" t="str">
        <x:v>Rendered</x:v>
      </x:c>
      <x:c r="E72" s="156" t="str">
        <x:v>Believed position and confidence replace hidden coordinates</x:v>
      </x:c>
      <x:c r="F72" s="156" t="str">
        <x:v>SCN-09</x:v>
      </x:c>
      <x:c r="G72" s="156" t="str">
        <x:v>Knowledge-map reducer</x:v>
      </x:c>
      <x:c r="H72" s="158" t="str">
        <x:v>Mapped</x:v>
      </x:c>
    </x:row>
    <x:row r="73" ht="42" customHeight="1">
      <x:c r="A73" s="159" t="str">
        <x:v>CMP-30</x:v>
      </x:c>
      <x:c r="B73" s="159" t="str">
        <x:v>Evidence Claim</x:v>
      </x:c>
      <x:c r="C73" s="159" t="str">
        <x:v>World</x:v>
      </x:c>
      <x:c r="D73" s="158" t="str">
        <x:v>Rendered</x:v>
      </x:c>
      <x:c r="E73" s="159" t="str">
        <x:v>Source, custody, confidence and contradictions distinct</x:v>
      </x:c>
      <x:c r="F73" s="159" t="str">
        <x:v>SCN-10</x:v>
      </x:c>
      <x:c r="G73" s="159" t="str">
        <x:v>Evidence/claim projection</x:v>
      </x:c>
      <x:c r="H73" s="158" t="str">
        <x:v>Mapped</x:v>
      </x:c>
    </x:row>
    <x:row r="74" ht="42" customHeight="1">
      <x:c r="A74" s="156" t="str">
        <x:v>CMP-31</x:v>
      </x:c>
      <x:c r="B74" s="156" t="str">
        <x:v>Front Pressure Card</x:v>
      </x:c>
      <x:c r="C74" s="156" t="str">
        <x:v>World</x:v>
      </x:c>
      <x:c r="D74" s="158" t="str">
        <x:v>Rendered</x:v>
      </x:c>
      <x:c r="E74" s="156" t="str">
        <x:v>Evidence-backed qualitative pressure without secret clock</x:v>
      </x:c>
      <x:c r="F74" s="156" t="str">
        <x:v>SCN-13</x:v>
      </x:c>
      <x:c r="G74" s="156" t="str">
        <x:v>Front projection GAP-003</x:v>
      </x:c>
      <x:c r="H74" s="158" t="str">
        <x:v>Mapped</x:v>
      </x:c>
    </x:row>
    <x:row r="75" ht="42" customHeight="1">
      <x:c r="A75" s="159" t="str">
        <x:v>CMP-32</x:v>
      </x:c>
      <x:c r="B75" s="159" t="str">
        <x:v>Legal Process Card</x:v>
      </x:c>
      <x:c r="C75" s="159" t="str">
        <x:v>World</x:v>
      </x:c>
      <x:c r="D75" s="158" t="str">
        <x:v>Rendered</x:v>
      </x:c>
      <x:c r="E75" s="159" t="str">
        <x:v>Evidence, jurisdiction, authority and guilt stay separate</x:v>
      </x:c>
      <x:c r="F75" s="159" t="str">
        <x:v>SCN-06, 11</x:v>
      </x:c>
      <x:c r="G75" s="159" t="str">
        <x:v>Legal process projection</x:v>
      </x:c>
      <x:c r="H75" s="158" t="str">
        <x:v>Mapped</x:v>
      </x:c>
    </x:row>
    <x:row r="76" ht="42" customHeight="1">
      <x:c r="A76" s="156" t="str">
        <x:v>CMP-33</x:v>
      </x:c>
      <x:c r="B76" s="156" t="str">
        <x:v>Comic Job Card</x:v>
      </x:c>
      <x:c r="C76" s="156" t="str">
        <x:v>Chronicle</x:v>
      </x:c>
      <x:c r="D76" s="158" t="str">
        <x:v>Rendered</x:v>
      </x:c>
      <x:c r="E76" s="156" t="str">
        <x:v>Honest durable background stages; play never waits</x:v>
      </x:c>
      <x:c r="F76" s="156" t="str">
        <x:v>SCN-14</x:v>
      </x:c>
      <x:c r="G76" s="156" t="str">
        <x:v>Queue/provider contracts</x:v>
      </x:c>
      <x:c r="H76" s="158" t="str">
        <x:v>Mapped</x:v>
      </x:c>
    </x:row>
    <x:row r="77" ht="42" customHeight="1">
      <x:c r="A77" s="159" t="str">
        <x:v>CMP-34</x:v>
      </x:c>
      <x:c r="B77" s="159" t="str">
        <x:v>Comic Reader Controls</x:v>
      </x:c>
      <x:c r="C77" s="159" t="str">
        <x:v>Chronicle</x:v>
      </x:c>
      <x:c r="D77" s="158" t="str">
        <x:v>Rendered</x:v>
      </x:c>
      <x:c r="E77" s="159" t="str">
        <x:v>Edition, knowledge ceiling and access modes are explicit</x:v>
      </x:c>
      <x:c r="F77" s="159" t="str">
        <x:v>SCN-14, 15</x:v>
      </x:c>
      <x:c r="G77" s="159" t="str">
        <x:v>Edition/WIP contracts</x:v>
      </x:c>
      <x:c r="H77" s="158" t="str">
        <x:v>Mapped</x:v>
      </x:c>
    </x:row>
    <x:row r="78" ht="42" customHeight="1">
      <x:c r="A78" s="156" t="str">
        <x:v>CMP-35</x:v>
      </x:c>
      <x:c r="B78" s="156" t="str">
        <x:v>Visible Focus</x:v>
      </x:c>
      <x:c r="C78" s="156" t="str">
        <x:v>System Library</x:v>
      </x:c>
      <x:c r="D78" s="158" t="str">
        <x:v>Rendered</x:v>
      </x:c>
      <x:c r="E78" s="156" t="str">
        <x:v>High-contrast focus offset from component borders</x:v>
      </x:c>
      <x:c r="F78" s="156" t="str">
        <x:v>SCN-16</x:v>
      </x:c>
      <x:c r="G78" s="156" t="str">
        <x:v>Browser/AT validation</x:v>
      </x:c>
      <x:c r="H78" s="158" t="str">
        <x:v>Mapped</x:v>
      </x:c>
    </x:row>
    <x:row r="79" ht="42" customHeight="1">
      <x:c r="A79" s="159" t="str">
        <x:v>CMP-36</x:v>
      </x:c>
      <x:c r="B79" s="159" t="str">
        <x:v>Semantic Regions</x:v>
      </x:c>
      <x:c r="C79" s="159" t="str">
        <x:v>All major surfaces</x:v>
      </x:c>
      <x:c r="D79" s="158" t="str">
        <x:v>Rendered</x:v>
      </x:c>
      <x:c r="E79" s="159" t="str">
        <x:v>Stable world, navigation, Stage, record and notice landmarks</x:v>
      </x:c>
      <x:c r="F79" s="159" t="str">
        <x:v>SCN-16</x:v>
      </x:c>
      <x:c r="G79" s="159" t="str">
        <x:v>DOM/AT validation</x:v>
      </x:c>
      <x:c r="H79" s="158" t="str">
        <x:v>Mapped</x:v>
      </x:c>
    </x:row>
    <x:row r="80" ht="42" customHeight="1">
      <x:c r="A80" s="156" t="str">
        <x:v>CMP-37</x:v>
      </x:c>
      <x:c r="B80" s="156" t="str">
        <x:v>Noncolor State Cue</x:v>
      </x:c>
      <x:c r="C80" s="156" t="str">
        <x:v>System Library</x:v>
      </x:c>
      <x:c r="D80" s="158" t="str">
        <x:v>Rendered</x:v>
      </x:c>
      <x:c r="E80" s="156" t="str">
        <x:v>Labels, shapes and structure carry critical meaning</x:v>
      </x:c>
      <x:c r="F80" s="156" t="str">
        <x:v>SCN-16</x:v>
      </x:c>
      <x:c r="G80" s="156" t="str">
        <x:v>Automated/manual a11y checks</x:v>
      </x:c>
      <x:c r="H80" s="158" t="str">
        <x:v>Mapped</x:v>
      </x:c>
    </x:row>
    <x:row r="81" ht="42" customHeight="1">
      <x:c r="A81" s="159" t="str">
        <x:v>CMP-38</x:v>
      </x:c>
      <x:c r="B81" s="159" t="str">
        <x:v>Live-Region Message</x:v>
      </x:c>
      <x:c r="C81" s="159" t="str">
        <x:v>Scene Frame</x:v>
      </x:c>
      <x:c r="D81" s="158" t="str">
        <x:v>Rendered</x:v>
      </x:c>
      <x:c r="E81" s="159" t="str">
        <x:v>World change and blocking state announce without stealing focus</x:v>
      </x:c>
      <x:c r="F81" s="159" t="str">
        <x:v>SCN-16</x:v>
      </x:c>
      <x:c r="G81" s="159" t="str">
        <x:v>AT announcement testing</x:v>
      </x:c>
      <x:c r="H81" s="158" t="str">
        <x:v>Mapped</x:v>
      </x:c>
    </x:row>
    <x:row r="82" ht="42" customHeight="1">
      <x:c r="A82" s="156" t="str">
        <x:v>CMP-39</x:v>
      </x:c>
      <x:c r="B82" s="156" t="str">
        <x:v>Alternate Input Tray</x:v>
      </x:c>
      <x:c r="C82" s="156" t="str">
        <x:v>Intent Dock</x:v>
      </x:c>
      <x:c r="D82" s="158" t="str">
        <x:v>Rendered</x:v>
      </x:c>
      <x:c r="E82" s="156" t="str">
        <x:v>Core intent remains possible without precision pointing or typing</x:v>
      </x:c>
      <x:c r="F82" s="156" t="str">
        <x:v>SCN-16</x:v>
      </x:c>
      <x:c r="G82" s="156" t="str">
        <x:v>Input adapter contracts</x:v>
      </x:c>
      <x:c r="H82" s="158" t="str">
        <x:v>Mapped</x:v>
      </x:c>
    </x:row>
    <x:row r="83" ht="42" customHeight="1">
      <x:c r="A83" s="159" t="str">
        <x:v>CMP-40</x:v>
      </x:c>
      <x:c r="B83" s="159" t="str">
        <x:v>Motion Substitute</x:v>
      </x:c>
      <x:c r="C83" s="159" t="str">
        <x:v>System Library + Stage</x:v>
      </x:c>
      <x:c r="D83" s="158" t="str">
        <x:v>Rendered</x:v>
      </x:c>
      <x:c r="E83" s="159" t="str">
        <x:v>Textual sequence and final state replace nonessential animation</x:v>
      </x:c>
      <x:c r="F83" s="159" t="str">
        <x:v>SCN-16</x:v>
      </x:c>
      <x:c r="G83" s="159" t="str">
        <x:v>Reduced-motion validation</x:v>
      </x:c>
      <x:c r="H83" s="158" t="str">
        <x:v>Mapped</x:v>
      </x:c>
    </x:row>
    <x:row r="84">
      <x:c r="A84"/>
      <x:c r="B84"/>
      <x:c r="C84"/>
      <x:c r="D84"/>
      <x:c r="E84"/>
      <x:c r="F84"/>
      <x:c r="G84"/>
      <x:c r="H84"/>
    </x:row>
    <x:row r="85">
      <x:c r="A85"/>
      <x:c r="B85"/>
      <x:c r="C85"/>
      <x:c r="D85"/>
      <x:c r="E85"/>
      <x:c r="F85"/>
      <x:c r="G85"/>
      <x:c r="H85"/>
    </x:row>
    <x:row r="86" ht="24" customHeight="1">
      <x:c r="A86" s="144" t="str">
        <x:v>STRESS REVIEW</x:v>
      </x:c>
      <x:c r="B86" s="144"/>
      <x:c r="C86" s="144"/>
      <x:c r="D86" s="144"/>
      <x:c r="E86" s="144"/>
      <x:c r="F86" s="144"/>
      <x:c r="G86" s="144"/>
      <x:c r="H86" s="144"/>
    </x:row>
    <x:row r="87" ht="30" customHeight="1">
      <x:c r="A87" s="146" t="str">
        <x:v>Probe</x:v>
      </x:c>
      <x:c r="B87" s="146" t="str">
        <x:v>Artifact evidence</x:v>
      </x:c>
      <x:c r="C87" s="146" t="str">
        <x:v>Result</x:v>
      </x:c>
      <x:c r="D87" s="146" t="str">
        <x:v>Known limitation</x:v>
      </x:c>
      <x:c r="E87" s="146" t="str">
        <x:v>Phase 6 owner</x:v>
      </x:c>
      <x:c r="F87" s="146" t="str">
        <x:v>Release validation</x:v>
      </x:c>
      <x:c r="G87" s="146" t="str">
        <x:v>Canon boundary</x:v>
      </x:c>
      <x:c r="H87" s="146" t="str">
        <x:v>Status</x:v>
      </x:c>
    </x:row>
    <x:row r="88" ht="48" customHeight="1">
      <x:c r="A88" s="159" t="str">
        <x:v>Localization expansion</x:v>
      </x:c>
      <x:c r="B88" s="159" t="str">
        <x:v>165% long-label probe in Acceptance Lab</x:v>
      </x:c>
      <x:c r="C88" s="159" t="str">
        <x:v>Wraps without hiding action/state</x:v>
      </x:c>
      <x:c r="D88" s="159" t="str">
        <x:v>No translated product copy commissioned</x:v>
      </x:c>
      <x:c r="E88" s="159" t="str">
        <x:v>Localization + frontend</x:v>
      </x:c>
      <x:c r="F88" s="159" t="str">
        <x:v>Pseudo-locale and real-string suite</x:v>
      </x:c>
      <x:c r="G88" s="159" t="str">
        <x:v>Translation cannot alter promises, facts or knowledge</x:v>
      </x:c>
      <x:c r="H88" s="158" t="str">
        <x:v>Artifact ready</x:v>
      </x:c>
    </x:row>
    <x:row r="89" ht="48" customHeight="1">
      <x:c r="A89" s="159" t="str">
        <x:v>Large text</x:v>
      </x:c>
      <x:c r="B89" s="159" t="str">
        <x:v>Acceptance control sets 118% root scale and comfortable density</x:v>
      </x:c>
      <x:c r="C89" s="159" t="str">
        <x:v>Layout remains structurally legible</x:v>
      </x:c>
      <x:c r="D89" s="159" t="str">
        <x:v>Not a WCAG zoom certification</x:v>
      </x:c>
      <x:c r="E89" s="159" t="str">
        <x:v>Frontend + accessibility</x:v>
      </x:c>
      <x:c r="F89" s="159" t="str">
        <x:v>200% zoom and reflow test</x:v>
      </x:c>
      <x:c r="G89" s="159" t="str">
        <x:v>Presentation-only setting</x:v>
      </x:c>
      <x:c r="H89" s="158" t="str">
        <x:v>Artifact ready</x:v>
      </x:c>
    </x:row>
    <x:row r="90" ht="48" customHeight="1">
      <x:c r="A90" s="159" t="str">
        <x:v>High contrast / noncolor</x:v>
      </x:c>
      <x:c r="B90" s="159" t="str">
        <x:v>Theme control plus labels, shapes and structural state</x:v>
      </x:c>
      <x:c r="C90" s="159" t="str">
        <x:v>Critical meaning survives palette change</x:v>
      </x:c>
      <x:c r="D90" s="159" t="str">
        <x:v>OS forced-colors not exercised</x:v>
      </x:c>
      <x:c r="E90" s="159" t="str">
        <x:v>Frontend + accessibility</x:v>
      </x:c>
      <x:c r="F90" s="159" t="str">
        <x:v>Forced-colors/manual contrast test</x:v>
      </x:c>
      <x:c r="G90" s="159" t="str">
        <x:v>No mechanic changes</x:v>
      </x:c>
      <x:c r="H90" s="158" t="str">
        <x:v>Artifact ready</x:v>
      </x:c>
    </x:row>
    <x:row r="91" ht="48" customHeight="1">
      <x:c r="A91" s="159" t="str">
        <x:v>Reduced motion / input</x:v>
      </x:c>
      <x:c r="B91" s="159" t="str">
        <x:v>Motion toggle, textual resolution and alternate-input affordance</x:v>
      </x:c>
      <x:c r="C91" s="159" t="str">
        <x:v>Core loop remains represented</x:v>
      </x:c>
      <x:c r="D91" s="159" t="str">
        <x:v>No assistive technology session run</x:v>
      </x:c>
      <x:c r="E91" s="159" t="str">
        <x:v>Frontend + accessibility</x:v>
      </x:c>
      <x:c r="F91" s="159" t="str">
        <x:v>Keyboard, SR, switch and voice matrix</x:v>
      </x:c>
      <x:c r="G91" s="159" t="str">
        <x:v>Input method cannot alter authority</x:v>
      </x:c>
      <x:c r="H91" s="158" t="str">
        <x:v>Artifact ready</x:v>
      </x:c>
    </x:row>
    <x:row r="92" ht="48" customHeight="1">
      <x:c r="A92" s="159" t="str">
        <x:v>Long-session readability</x:v>
      </x:c>
      <x:c r="B92" s="159" t="str">
        <x:v>Mixed material temperatures, bounded Stage, Chronicle ribbon, density control</x:v>
      </x:c>
      <x:c r="C92" s="159" t="str">
        <x:v>Avoids transcript and dashboard sprawl</x:v>
      </x:c>
      <x:c r="D92" s="159" t="str">
        <x:v>No two-hour human study run</x:v>
      </x:c>
      <x:c r="E92" s="159" t="str">
        <x:v>Research + frontend</x:v>
      </x:c>
      <x:c r="F92" s="159" t="str">
        <x:v>Two-hour fatigue/readability session</x:v>
      </x:c>
      <x:c r="G92" s="159" t="str">
        <x:v>UI remains viewpoint-safe</x:v>
      </x:c>
      <x:c r="H92" s="158" t="str">
        <x:v>Artifact ready</x:v>
      </x:c>
    </x:row>
    <x:row r="93">
      <x:c r="A93"/>
      <x:c r="B93"/>
      <x:c r="C93"/>
      <x:c r="D93"/>
      <x:c r="E93"/>
      <x:c r="F93"/>
      <x:c r="G93"/>
      <x:c r="H93"/>
    </x:row>
    <x:row r="94">
      <x:c r="A94"/>
      <x:c r="B94"/>
      <x:c r="C94"/>
      <x:c r="D94"/>
      <x:c r="E94"/>
      <x:c r="F94"/>
      <x:c r="G94"/>
      <x:c r="H94"/>
    </x:row>
    <x:row r="95" ht="24" customHeight="1">
      <x:c r="A95" s="144" t="str">
        <x:v>PHASE 6 CONTRACT QUEUE</x:v>
      </x:c>
      <x:c r="B95" s="144"/>
      <x:c r="C95" s="144"/>
      <x:c r="D95" s="144"/>
      <x:c r="E95" s="144"/>
      <x:c r="F95" s="144"/>
      <x:c r="G95" s="144"/>
      <x:c r="H95" s="144"/>
    </x:row>
    <x:row r="96" ht="30" customHeight="1">
      <x:c r="A96" s="146" t="str">
        <x:v>Gap</x:v>
      </x:c>
      <x:c r="B96" s="146" t="str">
        <x:v>Contract question</x:v>
      </x:c>
      <x:c r="C96" s="146" t="str">
        <x:v>Prototype decision</x:v>
      </x:c>
      <x:c r="D96" s="146" t="str">
        <x:v>Required input</x:v>
      </x:c>
      <x:c r="E96" s="146" t="str">
        <x:v>Failure state</x:v>
      </x:c>
      <x:c r="F96" s="146" t="str">
        <x:v>Recovery</x:v>
      </x:c>
      <x:c r="G96" s="146" t="str">
        <x:v>Owner</x:v>
      </x:c>
      <x:c r="H96" s="146" t="str">
        <x:v>Status</x:v>
      </x:c>
    </x:row>
    <x:row r="97" ht="48" customHeight="1">
      <x:c r="A97" s="167" t="str">
        <x:v>GAP-001</x:v>
      </x:c>
      <x:c r="B97" s="165" t="str">
        <x:v>Actor-safe rejection payloads</x:v>
      </x:c>
      <x:c r="C97" s="165" t="str">
        <x:v>Keep refusal, impossible, invalid and unavailable distinct</x:v>
      </x:c>
      <x:c r="D97" s="165" t="str">
        <x:v>Public reason category + visible blocker</x:v>
      </x:c>
      <x:c r="E97" s="165" t="str">
        <x:v>No generic validator dump</x:v>
      </x:c>
      <x:c r="F97" s="165" t="str">
        <x:v>Preserve goal and revision path</x:v>
      </x:c>
      <x:c r="G97" s="165" t="str">
        <x:v>Engine/API</x:v>
      </x:c>
      <x:c r="H97" s="161" t="str">
        <x:v>Open</x:v>
      </x:c>
    </x:row>
    <x:row r="98" ht="48" customHeight="1">
      <x:c r="A98" s="167" t="str">
        <x:v>GAP-005</x:v>
      </x:c>
      <x:c r="B98" s="165" t="str">
        <x:v>Attention aggregation</x:v>
      </x:c>
      <x:c r="C98" s="165" t="str">
        <x:v>Group by cause, urgency and action requirement</x:v>
      </x:c>
      <x:c r="D98" s="165" t="str">
        <x:v>Knowledge-safe event digest</x:v>
      </x:c>
      <x:c r="E98" s="165" t="str">
        <x:v>No omniscient notification feed</x:v>
      </x:c>
      <x:c r="F98" s="165" t="str">
        <x:v>Chronicle + return context</x:v>
      </x:c>
      <x:c r="G98" s="165" t="str">
        <x:v>Engine/API</x:v>
      </x:c>
      <x:c r="H98" s="161" t="str">
        <x:v>Open</x:v>
      </x:c>
    </x:row>
    <x:row r="99" ht="48" customHeight="1">
      <x:c r="A99" s="167" t="str">
        <x:v>GAP-006</x:v>
      </x:c>
      <x:c r="B99" s="165" t="str">
        <x:v>Stale proposal rebase</x:v>
      </x:c>
      <x:c r="C99" s="165" t="str">
        <x:v>Material deltas require explicit reconciliation</x:v>
      </x:c>
      <x:c r="D99" s="165" t="str">
        <x:v>Source version + accessible deltas</x:v>
      </x:c>
      <x:c r="E99" s="165" t="str">
        <x:v>No silent rebase</x:v>
      </x:c>
      <x:c r="F99" s="165" t="str">
        <x:v>Compare and re-confirm</x:v>
      </x:c>
      <x:c r="G99" s="165" t="str">
        <x:v>Engine/API</x:v>
      </x:c>
      <x:c r="H99" s="161" t="str">
        <x:v>Open</x:v>
      </x:c>
    </x:row>
    <x:row r="100" ht="48" customHeight="1">
      <x:c r="A100" s="167" t="str">
        <x:v>GAP-007</x:v>
      </x:c>
      <x:c r="B100" s="165" t="str">
        <x:v>Latency and paused simulation</x:v>
      </x:c>
      <x:c r="C100" s="165" t="str">
        <x:v>Pending work never implies outcome</x:v>
      </x:c>
      <x:c r="D100" s="165" t="str">
        <x:v>Job/activation state</x:v>
      </x:c>
      <x:c r="E100" s="165" t="str">
        <x:v>No false progress</x:v>
      </x:c>
      <x:c r="F100" s="165" t="str">
        <x:v>Retryable state + preserved draft</x:v>
      </x:c>
      <x:c r="G100" s="165" t="str">
        <x:v>Engine/API</x:v>
      </x:c>
      <x:c r="H100" s="161" t="str">
        <x:v>Open</x:v>
      </x:c>
    </x:row>
    <x:row r="101" ht="48" customHeight="1">
      <x:c r="A101" s="167" t="str">
        <x:v>GAP-008/009</x:v>
      </x:c>
      <x:c r="B101" s="165" t="str">
        <x:v>Comic queue and WIP</x:v>
      </x:c>
      <x:c r="C101" s="165" t="str">
        <x:v>Named durable stages; WIP opt-in</x:v>
      </x:c>
      <x:c r="D101" s="165" t="str">
        <x:v>Job state + knowledge ceiling</x:v>
      </x:c>
      <x:c r="E101" s="165" t="str">
        <x:v>No fake percentage or finished asset</x:v>
      </x:c>
      <x:c r="F101" s="165" t="str">
        <x:v>Resume nearest valid stage</x:v>
      </x:c>
      <x:c r="G101" s="165" t="str">
        <x:v>Media pipeline</x:v>
      </x:c>
      <x:c r="H101" s="161" t="str">
        <x:v>Open</x:v>
      </x:c>
    </x:row>
    <x:row r="102" ht="48" customHeight="1">
      <x:c r="A102" s="167" t="str">
        <x:v>GAP-010</x:v>
      </x:c>
      <x:c r="B102" s="165" t="str">
        <x:v>Prospective content boundaries</x:v>
      </x:c>
      <x:c r="C102" s="165" t="str">
        <x:v>Reroute future generation; do not rewrite canon</x:v>
      </x:c>
      <x:c r="D102" s="165" t="str">
        <x:v>Boundary conflict payload</x:v>
      </x:c>
      <x:c r="E102" s="165" t="str">
        <x:v>No retrospective canon erasure</x:v>
      </x:c>
      <x:c r="F102" s="165" t="str">
        <x:v>Escalate and present legal routes</x:v>
      </x:c>
      <x:c r="G102" s="165" t="str">
        <x:v>Engine/Product</x:v>
      </x:c>
      <x:c r="H102" s="161" t="str">
        <x:v>Open</x:v>
      </x:c>
    </x:row>
    <x:row r="103" ht="48" customHeight="1">
      <x:c r="A103" s="167" t="str">
        <x:v>GAP-011</x:v>
      </x:c>
      <x:c r="B103" s="165" t="str">
        <x:v>Constrained-choice semantics</x:v>
      </x:c>
      <x:c r="C103" s="165" t="str">
        <x:v>Show remaining legal agency without granting general control</x:v>
      </x:c>
      <x:c r="D103" s="165" t="str">
        <x:v>Constraint source/duration/provenance</x:v>
      </x:c>
      <x:c r="E103" s="165" t="str">
        <x:v>No false total control</x:v>
      </x:c>
      <x:c r="F103" s="165" t="str">
        <x:v>Name reversible method</x:v>
      </x:c>
      <x:c r="G103" s="165" t="str">
        <x:v>Engine/API</x:v>
      </x:c>
      <x:c r="H103" s="161" t="str">
        <x:v>Open</x:v>
      </x:c>
    </x:row>
    <x:row r="104" ht="48" customHeight="1">
      <x:c r="A104" s="167" t="str">
        <x:v>GAP-012</x:v>
      </x:c>
      <x:c r="B104" s="165" t="str">
        <x:v>Manual dice authority</x:v>
      </x:c>
      <x:c r="C104" s="165" t="str">
        <x:v>Separate campaign policy from accessibility</x:v>
      </x:c>
      <x:c r="D104" s="165" t="str">
        <x:v>Roll source + verification</x:v>
      </x:c>
      <x:c r="E104" s="165" t="str">
        <x:v>No silent odds difference</x:v>
      </x:c>
      <x:c r="F104" s="165" t="str">
        <x:v>Correction/replay record</x:v>
      </x:c>
      <x:c r="G104" s="165" t="str">
        <x:v>Rules/Engine</x:v>
      </x:c>
      <x:c r="H104" s="161" t="str">
        <x:v>Open</x:v>
      </x:c>
    </x:row>
    <x:row r="105" ht="48" customHeight="1">
      <x:c r="A105" s="167" t="str">
        <x:v>GAP-014</x:v>
      </x:c>
      <x:c r="B105" s="165" t="str">
        <x:v>Unknown-commit recovery</x:v>
      </x:c>
      <x:c r="C105" s="165" t="str">
        <x:v>Lookup before retry; distinguish committed from unknown</x:v>
      </x:c>
      <x:c r="D105" s="165" t="str">
        <x:v>Idempotency key + event lookup</x:v>
      </x:c>
      <x:c r="E105" s="165" t="str">
        <x:v>No duplicate canonical action</x:v>
      </x:c>
      <x:c r="F105" s="165" t="str">
        <x:v>Resolve/compare before retry</x:v>
      </x:c>
      <x:c r="G105" s="165" t="str">
        <x:v>Engine/API</x:v>
      </x:c>
      <x:c r="H105" s="161" t="str">
        <x:v>Open</x:v>
      </x:c>
    </x:row>
    <x:row r="106" ht="48" customHeight="1">
      <x:c r="A106" s="167" t="str">
        <x:v>GAP-016</x:v>
      </x:c>
      <x:c r="B106" s="165" t="str">
        <x:v>Immutable comic editions</x:v>
      </x:c>
      <x:c r="C106" s="165" t="str">
        <x:v>Corrections supersede; never silently replace</x:v>
      </x:c>
      <x:c r="D106" s="165" t="str">
        <x:v>Edition/source manifest</x:v>
      </x:c>
      <x:c r="E106" s="165" t="str">
        <x:v>No mutable published page</x:v>
      </x:c>
      <x:c r="F106" s="165" t="str">
        <x:v>Issue new edition with history</x:v>
      </x:c>
      <x:c r="G106" s="165" t="str">
        <x:v>Media pipeline</x:v>
      </x:c>
      <x:c r="H106" s="161" t="str">
        <x:v>Open</x:v>
      </x:c>
    </x:row>
    <x:row r="107">
      <x:c r="A107"/>
      <x:c r="B107"/>
      <x:c r="C107"/>
      <x:c r="D107"/>
      <x:c r="E107"/>
      <x:c r="F107"/>
      <x:c r="G107"/>
      <x:c r="H107"/>
    </x:row>
    <x:row r="108">
      <x:c r="A108"/>
      <x:c r="B108"/>
      <x:c r="C108"/>
      <x:c r="D108"/>
      <x:c r="E108"/>
      <x:c r="F108"/>
      <x:c r="G108"/>
      <x:c r="H108"/>
    </x:row>
    <x:row r="109">
      <x:c r="A109"/>
      <x:c r="B109"/>
      <x:c r="C109"/>
      <x:c r="D109"/>
      <x:c r="E109"/>
      <x:c r="F109"/>
      <x:c r="G109"/>
      <x:c r="H109"/>
    </x:row>
    <x:row r="110">
      <x:c r="A110"/>
      <x:c r="B110"/>
      <x:c r="C110"/>
      <x:c r="D110"/>
      <x:c r="E110"/>
      <x:c r="F110"/>
      <x:c r="G110"/>
      <x:c r="H110"/>
    </x:row>
  </x:sheetData>
  <x:mergeCells>
    <x:mergeCell ref="A1:H1"/>
    <x:mergeCell ref="A2:H2"/>
    <x:mergeCell ref="A4:H4"/>
    <x:mergeCell ref="C5:H5"/>
    <x:mergeCell ref="C6:H6"/>
    <x:mergeCell ref="C7:H7"/>
    <x:mergeCell ref="C8:H8"/>
    <x:mergeCell ref="A10:H10"/>
    <x:mergeCell ref="A31:E31"/>
    <x:mergeCell ref="A42:H42"/>
    <x:mergeCell ref="A86:H86"/>
    <x:mergeCell ref="A95:H95"/>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2" hidden="0" customWidth="1"/>
    <x:col min="2" max="2" width="44" hidden="0" customWidth="1"/>
    <x:col min="3" max="3" width="4" hidden="0" customWidth="1"/>
    <x:col min="4" max="4" width="27" hidden="0" customWidth="1"/>
    <x:col min="5" max="5" width="14" hidden="0" customWidth="1"/>
    <x:col min="6" max="6" width="4" hidden="0" customWidth="1"/>
    <x:col min="7" max="7" width="25" hidden="0" customWidth="1"/>
    <x:col min="8" max="8" width="25" hidden="0" customWidth="1"/>
  </x:cols>
  <x:sheetData>
    <x:row r="1" ht="30" customHeight="1">
      <x:c r="A1" s="183" t="str">
        <x:v>MYTHIC SUPERHERO RPG • PHASE 6 CHECKPOINT C1</x:v>
      </x:c>
      <x:c r="B1" s="183" t="str">
        <x:v>MYTHIC SUPERHERO RPG • PHASE 6 CHECKPOINT C1</x:v>
      </x:c>
      <x:c r="C1" s="183" t="str">
        <x:v>MYTHIC SUPERHERO RPG • PHASE 6 CHECKPOINT C1</x:v>
      </x:c>
      <x:c r="D1" s="183" t="str">
        <x:v>MYTHIC SUPERHERO RPG • PHASE 6 CHECKPOINT C1</x:v>
      </x:c>
      <x:c r="E1" s="183" t="str">
        <x:v>MYTHIC SUPERHERO RPG • PHASE 6 CHECKPOINT C1</x:v>
      </x:c>
      <x:c r="F1" s="183" t="str">
        <x:v>MYTHIC SUPERHERO RPG • PHASE 6 CHECKPOINT C1</x:v>
      </x:c>
      <x:c r="G1" s="183" t="str">
        <x:v>MYTHIC SUPERHERO RPG • PHASE 6 CHECKPOINT C1</x:v>
      </x:c>
      <x:c r="H1" s="183" t="str">
        <x:v>MYTHIC SUPERHERO RPG • PHASE 6 CHECKPOINT C1</x:v>
      </x:c>
    </x:row>
    <x:row r="2" ht="32" customHeight="1">
      <x:c r="A2" s="187" t="str">
        <x:v>Common contract + core loop approved and locked • machine-readable authority, knowledge, recovery and accessibility boundaries</x:v>
      </x:c>
      <x:c r="B2" s="187" t="str">
        <x:v>Common contract + core loop approved and locked • machine-readable authority, knowledge, recovery and accessibility boundaries</x:v>
      </x:c>
      <x:c r="C2" s="187" t="str">
        <x:v>Common contract + core loop approved and locked • machine-readable authority, knowledge, recovery and accessibility boundaries</x:v>
      </x:c>
      <x:c r="D2" s="187" t="str">
        <x:v>Common contract + core loop approved and locked • machine-readable authority, knowledge, recovery and accessibility boundaries</x:v>
      </x:c>
      <x:c r="E2" s="187" t="str">
        <x:v>Common contract + core loop approved and locked • machine-readable authority, knowledge, recovery and accessibility boundaries</x:v>
      </x:c>
      <x:c r="F2" s="187" t="str">
        <x:v>Common contract + core loop approved and locked • machine-readable authority, knowledge, recovery and accessibility boundaries</x:v>
      </x:c>
      <x:c r="G2" s="187" t="str">
        <x:v>Common contract + core loop approved and locked • machine-readable authority, knowledge, recovery and accessibility boundaries</x:v>
      </x:c>
      <x:c r="H2" s="187" t="str">
        <x:v>Common contract + core loop approved and locked • machine-readable authority, knowledge, recovery and accessibility boundaries</x:v>
      </x:c>
    </x:row>
    <x:row r="3" ht="24" customHeight="1"/>
    <x:row r="4" ht="42" customHeight="1">
      <x:c r="A4" s="190" t="str">
        <x:v>Foundation status</x:v>
      </x:c>
      <x:c r="B4" s="193" t="str">
        <x:v>Approved and locked · 2026-08-23</x:v>
      </x:c>
      <x:c r="D4" s="196" t="str">
        <x:v>C1 ACCEPTANCE RESULT</x:v>
      </x:c>
      <x:c r="E4" s="196" t="str">
        <x:v>C1 ACCEPTANCE RESULT</x:v>
      </x:c>
      <x:c r="F4" s="196" t="str">
        <x:v>C1 ACCEPTANCE RESULT</x:v>
      </x:c>
      <x:c r="G4" s="196" t="str">
        <x:v>C1 ACCEPTANCE RESULT</x:v>
      </x:c>
      <x:c r="H4" s="196" t="str">
        <x:v>C1 ACCEPTANCE RESULT</x:v>
      </x:c>
    </x:row>
    <x:row r="5" ht="42" customHeight="1">
      <x:c r="A5" s="190" t="str">
        <x:v>C1 status</x:v>
      </x:c>
      <x:c r="B5" s="193" t="str">
        <x:v>Approved and locked · 2026-08-23</x:v>
      </x:c>
      <x:c r="D5" s="193" t="str">
        <x:v>Contract matrix rows</x:v>
      </x:c>
      <x:c r="E5" s="197" t="n">
        <x:f>COUNTA('C1 Contract Matrix'!A5:A100)</x:f>
        <x:v>26</x:v>
      </x:c>
      <x:c r="G5" s="200" t="str">
        <x:v>MACHINE-VERIFIED</x:v>
      </x:c>
      <x:c r="H5" s="200" t="str">
        <x:v>MACHINE-VERIFIED</x:v>
      </x:c>
    </x:row>
    <x:row r="6" ht="42" customHeight="1">
      <x:c r="A6" s="190" t="str">
        <x:v>Contract stack</x:v>
      </x:c>
      <x:c r="B6" s="193" t="str">
        <x:v>JSON Schema 2020-12 · OpenAPI 3.1.2 · AsyncAPI 3.1.0</x:v>
      </x:c>
      <x:c r="D6" s="193" t="str">
        <x:v>Schema documents</x:v>
      </x:c>
      <x:c r="E6" s="197" t="n">
        <x:v>4</x:v>
      </x:c>
      <x:c r="G6" s="201" t="str">
        <x:v>All positive fixtures validate. All deliberately invalid fixtures are rejected. All schema references resolve. Public positive fixtures contain none of the forbidden hidden-truth or private-diagnostic keys. Unknown commit requires lookup before retry.</x:v>
      </x:c>
      <x:c r="H6" s="201" t="str">
        <x:v>All positive fixtures validate. All deliberately invalid fixtures are rejected. All schema references resolve. Public positive fixtures contain none of the forbidden hidden-truth or private-diagnostic keys. Unknown commit requires lookup before retry.</x:v>
      </x:c>
    </x:row>
    <x:row r="7" ht="42" customHeight="1">
      <x:c r="A7" s="190" t="str">
        <x:v>Primary player loop</x:v>
      </x:c>
      <x:c r="B7" s="193" t="str">
        <x:v>Stage → Intent → Interpretation → Forecast → Commit → Resolution → Receipt</x:v>
      </x:c>
      <x:c r="D7" s="193" t="str">
        <x:v>OpenAPI operations</x:v>
      </x:c>
      <x:c r="E7" s="197" t="n">
        <x:v>9</x:v>
      </x:c>
      <x:c r="G7" s="201" t="str">
        <x:v>All positive fixtures validate. All deliberately invalid fixtures are rejected. All schema references resolve. Public positive fixtures contain none of the forbidden hidden-truth or private-diagnostic keys. Unknown commit requires lookup before retry.</x:v>
      </x:c>
      <x:c r="H7" s="201" t="str">
        <x:v>All positive fixtures validate. All deliberately invalid fixtures are rejected. All schema references resolve. Public positive fixtures contain none of the forbidden hidden-truth or private-diagnostic keys. Unknown commit requires lookup before retry.</x:v>
      </x:c>
    </x:row>
    <x:row r="8" ht="42" customHeight="1">
      <x:c r="A8" s="190" t="str">
        <x:v>Implementation boundary</x:v>
      </x:c>
      <x:c r="B8" s="193" t="str">
        <x:v>No production frontend, live engine, deployment platform or storage topology is authorized</x:v>
      </x:c>
      <x:c r="D8" s="193" t="str">
        <x:v>AsyncAPI messages</x:v>
      </x:c>
      <x:c r="E8" s="197" t="n">
        <x:v>6</x:v>
      </x:c>
      <x:c r="G8" s="201" t="str">
        <x:v>All positive fixtures validate. All deliberately invalid fixtures are rejected. All schema references resolve. Public positive fixtures contain none of the forbidden hidden-truth or private-diagnostic keys. Unknown commit requires lookup before retry.</x:v>
      </x:c>
      <x:c r="H8" s="201" t="str">
        <x:v>All positive fixtures validate. All deliberately invalid fixtures are rejected. All schema references resolve. Public positive fixtures contain none of the forbidden hidden-truth or private-diagnostic keys. Unknown commit requires lookup before retry.</x:v>
      </x:c>
    </x:row>
    <x:row r="9" ht="24" customHeight="1">
      <x:c r="D9" s="193" t="str">
        <x:v>Validation fixtures</x:v>
      </x:c>
      <x:c r="E9" s="197" t="n">
        <x:f>COUNTA('C1 Fixture Coverage'!A5:A100)</x:f>
        <x:v>24</x:v>
      </x:c>
      <x:c r="G9" s="201" t="str">
        <x:v>All positive fixtures validate. All deliberately invalid fixtures are rejected. All schema references resolve. Public positive fixtures contain none of the forbidden hidden-truth or private-diagnostic keys. Unknown commit requires lookup before retry.</x:v>
      </x:c>
      <x:c r="H9" s="201" t="str">
        <x:v>All positive fixtures validate. All deliberately invalid fixtures are rejected. All schema references resolve. Public positive fixtures contain none of the forbidden hidden-truth or private-diagnostic keys. Unknown commit requires lookup before retry.</x:v>
      </x:c>
    </x:row>
    <x:row r="10" ht="24" customHeight="1">
      <x:c r="D10" s="193" t="str">
        <x:v>Failed fixture gates</x:v>
      </x:c>
      <x:c r="E10" s="197" t="n">
        <x:f>COUNTIF('C1 Fixture Coverage'!E5:E100,"FAIL")</x:f>
        <x:v>0</x:v>
      </x:c>
      <x:c r="G10" s="201" t="str">
        <x:v>All positive fixtures validate. All deliberately invalid fixtures are rejected. All schema references resolve. Public positive fixtures contain none of the forbidden hidden-truth or private-diagnostic keys. Unknown commit requires lookup before retry.</x:v>
      </x:c>
      <x:c r="H10" s="201" t="str">
        <x:v>All positive fixtures validate. All deliberately invalid fixtures are rejected. All schema references resolve. Public positive fixtures contain none of the forbidden hidden-truth or private-diagnostic keys. Unknown commit requires lookup before retry.</x:v>
      </x:c>
    </x:row>
    <x:row r="11" ht="24" customHeight="1"/>
    <x:row r="12" ht="26" customHeight="1">
      <x:c r="A12" s="203" t="str">
        <x:v>WHAT C1 LOCKS</x:v>
      </x:c>
      <x:c r="B12" s="203" t="str">
        <x:v>WHAT C1 LOCKS</x:v>
      </x:c>
      <x:c r="C12" s="203" t="str">
        <x:v>WHAT C1 LOCKS</x:v>
      </x:c>
      <x:c r="D12" s="203" t="str">
        <x:v>WHAT C1 LOCKS</x:v>
      </x:c>
      <x:c r="E12" s="203" t="str">
        <x:v>WHAT C1 LOCKS</x:v>
      </x:c>
      <x:c r="F12" s="203" t="str">
        <x:v>WHAT C1 LOCKS</x:v>
      </x:c>
      <x:c r="G12" s="203" t="str">
        <x:v>WHAT C1 LOCKS</x:v>
      </x:c>
      <x:c r="H12" s="203" t="str">
        <x:v>WHAT C1 LOCKS</x:v>
      </x:c>
    </x:row>
    <x:row r="13" ht="48" customHeight="1">
      <x:c r="A13" s="208" t="str">
        <x:v>1</x:v>
      </x:c>
      <x:c r="B13" s="209" t="str">
        <x:v>Shared identifiers</x:v>
      </x:c>
      <x:c r="C13" s="177" t="str">
        <x:v>Opaque campaign/actor/viewpoint IDs, semantic contract versions, monotonic state versions and Knowledge Snapshot IDs.</x:v>
      </x:c>
      <x:c r="D13" s="177"/>
      <x:c r="E13" s="177"/>
      <x:c r="F13" s="177"/>
      <x:c r="G13" s="177"/>
      <x:c r="H13" s="177"/>
    </x:row>
    <x:row r="14" ht="48" customHeight="1">
      <x:c r="A14" s="213" t="str">
        <x:v>2</x:v>
      </x:c>
      <x:c r="B14" s="214" t="str">
        <x:v>Projection safety</x:v>
      </x:c>
      <x:c r="C14" s="212" t="str">
        <x:v>Read models carry only viewpoint-safe facts, accessible provenance, freshness and permissions; hidden truth is absent before serialization.</x:v>
      </x:c>
      <x:c r="D14" s="212"/>
      <x:c r="E14" s="212"/>
      <x:c r="F14" s="212"/>
      <x:c r="G14" s="212"/>
      <x:c r="H14" s="212"/>
    </x:row>
    <x:row r="15" ht="48" customHeight="1">
      <x:c r="A15" s="208" t="str">
        <x:v>3</x:v>
      </x:c>
      <x:c r="B15" s="209" t="str">
        <x:v>Intent fidelity</x:v>
      </x:c>
      <x:c r="C15" s="177" t="str">
        <x:v>Free intent remains primary. Interpretation preserves goal, identifies material ambiguity and creates a reviewable noncanonical proposal.</x:v>
      </x:c>
      <x:c r="D15" s="177"/>
      <x:c r="E15" s="177"/>
      <x:c r="F15" s="177"/>
      <x:c r="G15" s="177"/>
      <x:c r="H15" s="177"/>
    </x:row>
    <x:row r="16" ht="48" customHeight="1">
      <x:c r="A16" s="213" t="str">
        <x:v>4</x:v>
      </x:c>
      <x:c r="B16" s="214" t="str">
        <x:v>Commit safety</x:v>
      </x:c>
      <x:c r="C16" s="212" t="str">
        <x:v>Canonical commands are immutable and idempotent. Canon changes only after reducer acceptance and a durable receipt.</x:v>
      </x:c>
      <x:c r="D16" s="212"/>
      <x:c r="E16" s="212"/>
      <x:c r="F16" s="212"/>
      <x:c r="G16" s="212"/>
      <x:c r="H16" s="212"/>
    </x:row>
    <x:row r="17" ht="48" customHeight="1">
      <x:c r="A17" s="208" t="str">
        <x:v>5</x:v>
      </x:c>
      <x:c r="B17" s="209" t="str">
        <x:v>Distinct outcomes</x:v>
      </x:c>
      <x:c r="C17" s="177" t="str">
        <x:v>Success, mixed failure, impossible/invalid, refusal, interruption, unavailability, destructive consequence, replan, conflict and unknown status remain machine-distinct.</x:v>
      </x:c>
      <x:c r="D17" s="177"/>
      <x:c r="E17" s="177"/>
      <x:c r="F17" s="177"/>
      <x:c r="G17" s="177"/>
      <x:c r="H17" s="177"/>
    </x:row>
    <x:row r="18" ht="48" customHeight="1">
      <x:c r="A18" s="213" t="str">
        <x:v>6</x:v>
      </x:c>
      <x:c r="B18" s="214" t="str">
        <x:v>Accessible recovery</x:v>
      </x:c>
      <x:c r="C18" s="212" t="str">
        <x:v>Material updates carry semantic announcement data, while stale and unknown states name the safe next action without stealing focus or inventing certainty.</x:v>
      </x:c>
      <x:c r="D18" s="212"/>
      <x:c r="E18" s="212"/>
      <x:c r="F18" s="212"/>
      <x:c r="G18" s="212"/>
      <x:c r="H18" s="212"/>
    </x:row>
    <x:row r="19" ht="24" customHeight="1"/>
    <x:row r="20" ht="26" customHeight="1">
      <x:c r="A20" s="243" t="str">
        <x:v>C1 APPROVAL RECORDED</x:v>
      </x:c>
      <x:c r="B20" s="243" t="str">
        <x:v>C1 APPROVAL RECORDED</x:v>
      </x:c>
      <x:c r="C20" s="243" t="str">
        <x:v>C1 APPROVAL RECORDED</x:v>
      </x:c>
      <x:c r="D20" s="243" t="str">
        <x:v>C1 APPROVAL RECORDED</x:v>
      </x:c>
      <x:c r="E20" s="243" t="str">
        <x:v>C1 APPROVAL RECORDED</x:v>
      </x:c>
      <x:c r="F20" s="243" t="str">
        <x:v>C1 APPROVAL RECORDED</x:v>
      </x:c>
      <x:c r="G20" s="243" t="str">
        <x:v>C1 APPROVAL RECORDED</x:v>
      </x:c>
      <x:c r="H20" s="243" t="str">
        <x:v>C1 APPROVAL RECORDED</x:v>
      </x:c>
    </x:row>
    <x:row r="21" ht="30" customHeight="1">
      <x:c r="A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B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C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D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E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F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G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H21"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row>
    <x:row r="22" ht="30" customHeight="1">
      <x:c r="A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B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C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D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E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F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G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H22"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row>
    <x:row r="23" ht="30" customHeight="1">
      <x:c r="A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B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C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D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E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F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G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c r="H23" s="244" t="str">
        <x:v>Product-owner approval on 2026-08-23 locks the common vocabulary, core-loop payloads, public outcome taxonomy, nine synchronous operations, six event messages and twenty-four fixture expectations. C2 contract authoring is authorized. Production frontend construction remains gated at C4.</x:v>
      </x:c>
    </x:row>
  </x:sheetData>
  <x:mergeCells>
    <x:mergeCell ref="A1:H1"/>
    <x:mergeCell ref="A2:H2"/>
    <x:mergeCell ref="D4:H4"/>
    <x:mergeCell ref="G5:H5"/>
    <x:mergeCell ref="G6:H10"/>
    <x:mergeCell ref="A12:H12"/>
    <x:mergeCell ref="C13:H13"/>
    <x:mergeCell ref="C14:H14"/>
    <x:mergeCell ref="C15:H15"/>
    <x:mergeCell ref="C16:H16"/>
    <x:mergeCell ref="C17:H17"/>
    <x:mergeCell ref="C18:H18"/>
    <x:mergeCell ref="A20:H20"/>
    <x:mergeCell ref="A21:H23"/>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5" hidden="0" customWidth="1"/>
    <x:col min="2" max="2" width="15" hidden="0" customWidth="1"/>
    <x:col min="3" max="3" width="25" hidden="0" customWidth="1"/>
    <x:col min="4" max="4" width="15" hidden="0" customWidth="1"/>
    <x:col min="5" max="5" width="21" hidden="0" customWidth="1"/>
    <x:col min="6" max="6" width="22" hidden="0" customWidth="1"/>
    <x:col min="7" max="7" width="25" hidden="0" customWidth="1"/>
    <x:col min="8" max="8" width="36" hidden="0" customWidth="1"/>
    <x:col min="9" max="9" width="38" hidden="0" customWidth="1"/>
    <x:col min="10" max="10" width="34" hidden="0" customWidth="1"/>
    <x:col min="11" max="11" width="43" hidden="0" customWidth="1"/>
    <x:col min="12" max="12" width="35" hidden="0" customWidth="1"/>
    <x:col min="13" max="13" width="24" hidden="0" customWidth="1"/>
    <x:col min="14" max="14" width="20" hidden="0" customWidth="1"/>
    <x:col min="15" max="15" width="24" hidden="0" customWidth="1"/>
    <x:col min="16" max="16" width="35" hidden="0" customWidth="1"/>
    <x:col min="17" max="17" width="15" hidden="0" customWidth="1"/>
  </x:cols>
  <x:sheetData>
    <x:row r="1">
      <x:c r="A1" s="183" t="str">
        <x:v>CHECKPOINT C1 • SURFACE-TO-CONTRACT MATRIX</x:v>
      </x:c>
      <x:c r="B1" s="183" t="str">
        <x:v>CHECKPOINT C1 • SURFACE-TO-CONTRACT MATRIX</x:v>
      </x:c>
      <x:c r="C1" s="183" t="str">
        <x:v>CHECKPOINT C1 • SURFACE-TO-CONTRACT MATRIX</x:v>
      </x:c>
      <x:c r="D1" s="183" t="str">
        <x:v>CHECKPOINT C1 • SURFACE-TO-CONTRACT MATRIX</x:v>
      </x:c>
      <x:c r="E1" s="183" t="str">
        <x:v>CHECKPOINT C1 • SURFACE-TO-CONTRACT MATRIX</x:v>
      </x:c>
      <x:c r="F1" s="183" t="str">
        <x:v>CHECKPOINT C1 • SURFACE-TO-CONTRACT MATRIX</x:v>
      </x:c>
      <x:c r="G1" s="183" t="str">
        <x:v>CHECKPOINT C1 • SURFACE-TO-CONTRACT MATRIX</x:v>
      </x:c>
      <x:c r="H1" s="183" t="str">
        <x:v>CHECKPOINT C1 • SURFACE-TO-CONTRACT MATRIX</x:v>
      </x:c>
      <x:c r="I1" s="183" t="str">
        <x:v>CHECKPOINT C1 • SURFACE-TO-CONTRACT MATRIX</x:v>
      </x:c>
      <x:c r="J1" s="183" t="str">
        <x:v>CHECKPOINT C1 • SURFACE-TO-CONTRACT MATRIX</x:v>
      </x:c>
      <x:c r="K1" s="183" t="str">
        <x:v>CHECKPOINT C1 • SURFACE-TO-CONTRACT MATRIX</x:v>
      </x:c>
      <x:c r="L1" s="183" t="str">
        <x:v>CHECKPOINT C1 • SURFACE-TO-CONTRACT MATRIX</x:v>
      </x:c>
      <x:c r="M1" s="183" t="str">
        <x:v>CHECKPOINT C1 • SURFACE-TO-CONTRACT MATRIX</x:v>
      </x:c>
      <x:c r="N1" s="183" t="str">
        <x:v>CHECKPOINT C1 • SURFACE-TO-CONTRACT MATRIX</x:v>
      </x:c>
      <x:c r="O1" s="183" t="str">
        <x:v>CHECKPOINT C1 • SURFACE-TO-CONTRACT MATRIX</x:v>
      </x:c>
      <x:c r="P1" s="183" t="str">
        <x:v>CHECKPOINT C1 • SURFACE-TO-CONTRACT MATRIX</x:v>
      </x:c>
      <x:c r="Q1" s="183" t="str">
        <x:v>CHECKPOINT C1 • SURFACE-TO-CONTRACT MATRIX</x:v>
      </x:c>
    </x:row>
    <x:row r="2">
      <x:c r="A2" s="187" t="str">
        <x:v>Approved mappings for the desktop Stage and its core action loop • authority, knowledge and recovery remain explicit</x:v>
      </x:c>
      <x:c r="B2" s="187" t="str">
        <x:v>Approved mappings for the desktop Stage and its core action loop • authority, knowledge and recovery remain explicit</x:v>
      </x:c>
      <x:c r="C2" s="187" t="str">
        <x:v>Approved mappings for the desktop Stage and its core action loop • authority, knowledge and recovery remain explicit</x:v>
      </x:c>
      <x:c r="D2" s="187" t="str">
        <x:v>Approved mappings for the desktop Stage and its core action loop • authority, knowledge and recovery remain explicit</x:v>
      </x:c>
      <x:c r="E2" s="187" t="str">
        <x:v>Approved mappings for the desktop Stage and its core action loop • authority, knowledge and recovery remain explicit</x:v>
      </x:c>
      <x:c r="F2" s="187" t="str">
        <x:v>Approved mappings for the desktop Stage and its core action loop • authority, knowledge and recovery remain explicit</x:v>
      </x:c>
      <x:c r="G2" s="187" t="str">
        <x:v>Approved mappings for the desktop Stage and its core action loop • authority, knowledge and recovery remain explicit</x:v>
      </x:c>
      <x:c r="H2" s="187" t="str">
        <x:v>Approved mappings for the desktop Stage and its core action loop • authority, knowledge and recovery remain explicit</x:v>
      </x:c>
      <x:c r="I2" s="187" t="str">
        <x:v>Approved mappings for the desktop Stage and its core action loop • authority, knowledge and recovery remain explicit</x:v>
      </x:c>
      <x:c r="J2" s="187" t="str">
        <x:v>Approved mappings for the desktop Stage and its core action loop • authority, knowledge and recovery remain explicit</x:v>
      </x:c>
      <x:c r="K2" s="187" t="str">
        <x:v>Approved mappings for the desktop Stage and its core action loop • authority, knowledge and recovery remain explicit</x:v>
      </x:c>
      <x:c r="L2" s="187" t="str">
        <x:v>Approved mappings for the desktop Stage and its core action loop • authority, knowledge and recovery remain explicit</x:v>
      </x:c>
      <x:c r="M2" s="187" t="str">
        <x:v>Approved mappings for the desktop Stage and its core action loop • authority, knowledge and recovery remain explicit</x:v>
      </x:c>
      <x:c r="N2" s="187" t="str">
        <x:v>Approved mappings for the desktop Stage and its core action loop • authority, knowledge and recovery remain explicit</x:v>
      </x:c>
      <x:c r="O2" s="187" t="str">
        <x:v>Approved mappings for the desktop Stage and its core action loop • authority, knowledge and recovery remain explicit</x:v>
      </x:c>
      <x:c r="P2" s="187" t="str">
        <x:v>Approved mappings for the desktop Stage and its core action loop • authority, knowledge and recovery remain explicit</x:v>
      </x:c>
      <x:c r="Q2" s="187" t="str">
        <x:v>Approved mappings for the desktop Stage and its core action loop • authority, knowledge and recovery remain explicit</x:v>
      </x:c>
    </x:row>
    <x:row r="4">
      <x:c r="A4" s="227" t="str">
        <x:v>Contract ID</x:v>
      </x:c>
      <x:c r="B4" s="228" t="str">
        <x:v>Family</x:v>
      </x:c>
      <x:c r="C4" s="228" t="str">
        <x:v>Payload / Operation</x:v>
      </x:c>
      <x:c r="D4" s="228" t="str">
        <x:v>Direction</x:v>
      </x:c>
      <x:c r="E4" s="228" t="str">
        <x:v>Authority Owner</x:v>
      </x:c>
      <x:c r="F4" s="228" t="str">
        <x:v>Canonical Effect</x:v>
      </x:c>
      <x:c r="G4" s="228" t="str">
        <x:v>Source Artifact</x:v>
      </x:c>
      <x:c r="H4" s="228" t="str">
        <x:v>Knowledge Boundary</x:v>
      </x:c>
      <x:c r="I4" s="228" t="str">
        <x:v>State / Version Rule</x:v>
      </x:c>
      <x:c r="J4" s="228" t="str">
        <x:v>Success State</x:v>
      </x:c>
      <x:c r="K4" s="228" t="str">
        <x:v>Required Exception Branches</x:v>
      </x:c>
      <x:c r="L4" s="228" t="str">
        <x:v>Accessibility Semantics</x:v>
      </x:c>
      <x:c r="M4" s="228" t="str">
        <x:v>Requirements</x:v>
      </x:c>
      <x:c r="N4" s="228" t="str">
        <x:v>Scenarios</x:v>
      </x:c>
      <x:c r="O4" s="228" t="str">
        <x:v>Components</x:v>
      </x:c>
      <x:c r="P4" s="228" t="str">
        <x:v>Fixtures / Tests</x:v>
      </x:c>
      <x:c r="Q4" s="229" t="str">
        <x:v>Status</x:v>
      </x:c>
    </x:row>
    <x:row r="5" ht="76" customHeight="1">
      <x:c r="A5" s="177" t="str">
        <x:v>COMMON-001</x:v>
      </x:c>
      <x:c r="B5" s="177" t="str">
        <x:v>Common</x:v>
      </x:c>
      <x:c r="C5" s="177" t="str">
        <x:v>Identifiers, versions, Ledger Time</x:v>
      </x:c>
      <x:c r="D5" s="177" t="str">
        <x:v>Shared</x:v>
      </x:c>
      <x:c r="E5" s="177" t="str">
        <x:v>Contract gateway</x:v>
      </x:c>
      <x:c r="F5" s="177" t="str">
        <x:v>None</x:v>
      </x:c>
      <x:c r="G5" s="177" t="str">
        <x:v>common.schema.json</x:v>
      </x:c>
      <x:c r="H5" s="177" t="str">
        <x:v>Opaque IDs reveal no hidden meaning</x:v>
      </x:c>
      <x:c r="I5" s="177" t="str">
        <x:v>state_version is monotonic; generated_at never substitutes for Ledger Time</x:v>
      </x:c>
      <x:c r="J5" s="177" t="str">
        <x:v>Stable correlation across all payloads</x:v>
      </x:c>
      <x:c r="K5" s="177" t="str">
        <x:v>Malformed/missing identity rejected</x:v>
      </x:c>
      <x:c r="L5" s="177" t="str">
        <x:v>Time and status labels remain semantic</x:v>
      </x:c>
      <x:c r="M5" s="177" t="str">
        <x:v>TIM-001, TIM-005</x:v>
      </x:c>
      <x:c r="N5" s="177" t="str">
        <x:v>SCN-01</x:v>
      </x:c>
      <x:c r="O5" s="177" t="str">
        <x:v>CMP-01, CMP-02</x:v>
      </x:c>
      <x:c r="P5" s="177" t="str">
        <x:v>Schema reference + fixture harness</x:v>
      </x:c>
      <x:c r="Q5" s="245" t="str">
        <x:v>Approved</x:v>
      </x:c>
    </x:row>
    <x:row r="6" ht="76" customHeight="1">
      <x:c r="A6" s="178" t="str">
        <x:v>COMMON-002</x:v>
      </x:c>
      <x:c r="B6" s="178" t="str">
        <x:v>Common</x:v>
      </x:c>
      <x:c r="C6" s="178" t="str">
        <x:v>KnowledgeFact + ProvenanceRef</x:v>
      </x:c>
      <x:c r="D6" s="178" t="str">
        <x:v>Engine → UI</x:v>
      </x:c>
      <x:c r="E6" s="178" t="str">
        <x:v>Knowledge projection</x:v>
      </x:c>
      <x:c r="F6" s="178" t="str">
        <x:v>None</x:v>
      </x:c>
      <x:c r="G6" s="178" t="str">
        <x:v>common.schema.json</x:v>
      </x:c>
      <x:c r="H6" s="178" t="str">
        <x:v>Eight visible classes; hidden truth has no client class</x:v>
      </x:c>
      <x:c r="I6" s="178" t="str">
        <x:v>Each material fact carries as-of Ledger Time and accessible sources</x:v>
      </x:c>
      <x:c r="J6" s="178" t="str">
        <x:v>Perceived/recorded/reported/inferred facts render with provenance</x:v>
      </x:c>
      <x:c r="K6" s="178" t="str">
        <x:v>Disputed/last-known/unknown remain honest</x:v>
      </x:c>
      <x:c r="L6" s="178" t="str">
        <x:v>Text alternative uses the same knowledge ceiling</x:v>
      </x:c>
      <x:c r="M6" s="178" t="str">
        <x:v>KNO-001, KNO-007, KNO-008</x:v>
      </x:c>
      <x:c r="N6" s="178" t="str">
        <x:v>SCN-09, SCN-10</x:v>
      </x:c>
      <x:c r="O6" s="178" t="str">
        <x:v>CMP-10, CMP-29–31</x:v>
      </x:c>
      <x:c r="P6" s="178" t="str">
        <x:v>context-lens-disputed; stage-hidden-truth</x:v>
      </x:c>
      <x:c r="Q6" s="246" t="str">
        <x:v>Approved</x:v>
      </x:c>
    </x:row>
    <x:row r="7" ht="76" customHeight="1">
      <x:c r="A7" s="179" t="str">
        <x:v>COMMON-003</x:v>
      </x:c>
      <x:c r="B7" s="179" t="str">
        <x:v>Common</x:v>
      </x:c>
      <x:c r="C7" s="179" t="str">
        <x:v>Freshness + Permission</x:v>
      </x:c>
      <x:c r="D7" s="179" t="str">
        <x:v>Engine → UI</x:v>
      </x:c>
      <x:c r="E7" s="179" t="str">
        <x:v>Projection + validator</x:v>
      </x:c>
      <x:c r="F7" s="179" t="str">
        <x:v>None</x:v>
      </x:c>
      <x:c r="G7" s="179" t="str">
        <x:v>common.schema.json</x:v>
      </x:c>
      <x:c r="H7" s="179" t="str">
        <x:v>Inaccessible actions include actor-safe reasons only</x:v>
      </x:c>
      <x:c r="I7" s="179" t="str">
        <x:v>Material staleness suspends commit; nonmaterial delta may merge</x:v>
      </x:c>
      <x:c r="J7" s="179" t="str">
        <x:v>Current data enables normal use</x:v>
      </x:c>
      <x:c r="K7" s="179" t="str">
        <x:v>last_known, disputed, stale_material, unknown</x:v>
      </x:c>
      <x:c r="L7" s="179" t="str">
        <x:v>Status and action availability are noncolor labels</x:v>
      </x:c>
      <x:c r="M7" s="179" t="str">
        <x:v>TIM-006, FND-004</x:v>
      </x:c>
      <x:c r="N7" s="179" t="str">
        <x:v>SCN-05, SCN-17</x:v>
      </x:c>
      <x:c r="O7" s="179" t="str">
        <x:v>CMP-08, CMP-12</x:v>
      </x:c>
      <x:c r="P7" s="179" t="str">
        <x:v>stale-conflict-receipt</x:v>
      </x:c>
      <x:c r="Q7" s="246" t="str">
        <x:v>Approved</x:v>
      </x:c>
    </x:row>
    <x:row r="8" ht="76" customHeight="1">
      <x:c r="A8" s="178" t="str">
        <x:v>COMMON-004</x:v>
      </x:c>
      <x:c r="B8" s="178" t="str">
        <x:v>Common</x:v>
      </x:c>
      <x:c r="C8" s="178" t="str">
        <x:v>PublicOutcome + RecoveryInstruction</x:v>
      </x:c>
      <x:c r="D8" s="178" t="str">
        <x:v>Engine → UI</x:v>
      </x:c>
      <x:c r="E8" s="178" t="str">
        <x:v>Validator + reducer</x:v>
      </x:c>
      <x:c r="F8" s="178" t="str">
        <x:v>Only committed outcomes may reference canon events</x:v>
      </x:c>
      <x:c r="G8" s="178" t="str">
        <x:v>common.schema.json</x:v>
      </x:c>
      <x:c r="H8" s="178" t="str">
        <x:v>No private motive, hidden validator or secret solution</x:v>
      </x:c>
      <x:c r="I8" s="178" t="str">
        <x:v>Outcome family/code pair is schema constrained</x:v>
      </x:c>
      <x:c r="J8" s="178" t="str">
        <x:v>Goal, method, spend truth and next action are explicit</x:v>
      </x:c>
      <x:c r="K8" s="178" t="str">
        <x:v>All nine non-success/recovery classes</x:v>
      </x:c>
      <x:c r="L8" s="178" t="str">
        <x:v>Alert priority and concise recovery announcement</x:v>
      </x:c>
      <x:c r="M8" s="178" t="str">
        <x:v>FND-004, TIM-005</x:v>
      </x:c>
      <x:c r="N8" s="178" t="str">
        <x:v>SCN-05, SCN-07, SCN-11</x:v>
      </x:c>
      <x:c r="O8" s="178" t="str">
        <x:v>CMP-17, CMP-38</x:v>
      </x:c>
      <x:c r="P8" s="178" t="str">
        <x:v>success + 8 branch fixtures + 2 negative gates</x:v>
      </x:c>
      <x:c r="Q8" s="246" t="str">
        <x:v>Approved</x:v>
      </x:c>
    </x:row>
    <x:row r="9" ht="76" customHeight="1">
      <x:c r="A9" s="179" t="str">
        <x:v>COMMON-005</x:v>
      </x:c>
      <x:c r="B9" s="179" t="str">
        <x:v>Common</x:v>
      </x:c>
      <x:c r="C9" s="179" t="str">
        <x:v>AccessibilitySemantic</x:v>
      </x:c>
      <x:c r="D9" s="179" t="str">
        <x:v>Engine → UI</x:v>
      </x:c>
      <x:c r="E9" s="179" t="str">
        <x:v>Projection/event boundary</x:v>
      </x:c>
      <x:c r="F9" s="179" t="str">
        <x:v>None</x:v>
      </x:c>
      <x:c r="G9" s="179" t="str">
        <x:v>common.schema.json</x:v>
      </x:c>
      <x:c r="H9" s="179" t="str">
        <x:v>Announcement text cannot exceed projection knowledge</x:v>
      </x:c>
      <x:c r="I9" s="179" t="str">
        <x:v>dedupe_key ties announcement to event/version</x:v>
      </x:c>
      <x:c r="J9" s="179" t="str">
        <x:v>Equivalent text and structured choices available</x:v>
      </x:c>
      <x:c r="K9" s="179" t="str">
        <x:v>Missing required announcement text rejected</x:v>
      </x:c>
      <x:c r="L9" s="179" t="str">
        <x:v>Role, priority, focus recommendation, alternate text, time semantics</x:v>
      </x:c>
      <x:c r="M9" s="179" t="str">
        <x:v>ACC-002, ACC-003, ACC-004</x:v>
      </x:c>
      <x:c r="N9" s="179" t="str">
        <x:v>SCN-16</x:v>
      </x:c>
      <x:c r="O9" s="179" t="str">
        <x:v>CMP-35–40</x:v>
      </x:c>
      <x:c r="P9" s="179" t="str">
        <x:v>recovery-required-event</x:v>
      </x:c>
      <x:c r="Q9" s="246" t="str">
        <x:v>Approved</x:v>
      </x:c>
    </x:row>
    <x:row r="10" ht="76" customHeight="1">
      <x:c r="A10" s="178" t="str">
        <x:v>RM-002</x:v>
      </x:c>
      <x:c r="B10" s="178" t="str">
        <x:v>Read Model</x:v>
      </x:c>
      <x:c r="C10" s="178" t="str">
        <x:v>WorldStripStatus</x:v>
      </x:c>
      <x:c r="D10" s="178" t="str">
        <x:v>Engine → UI</x:v>
      </x:c>
      <x:c r="E10" s="178" t="str">
        <x:v>Knowledge projection</x:v>
      </x:c>
      <x:c r="F10" s="178" t="str">
        <x:v>None</x:v>
      </x:c>
      <x:c r="G10" s="178" t="str">
        <x:v>core-loop.schema.json</x:v>
      </x:c>
      <x:c r="H10" s="178" t="str">
        <x:v>Place is a KnowledgeFact, not canonical coordinates</x:v>
      </x:c>
      <x:c r="I10" s="178" t="str">
        <x:v>Current state and save status are versioned</x:v>
      </x:c>
      <x:c r="J10" s="178" t="str">
        <x:v>Viewpoint, place, Ledger Time and pressure remain continuously legible</x:v>
      </x:c>
      <x:c r="K10" s="178" t="str">
        <x:v>offline_last_known and recovery_required</x:v>
      </x:c>
      <x:c r="L10" s="178" t="str">
        <x:v>Global status region announcement</x:v>
      </x:c>
      <x:c r="M10" s="178" t="str">
        <x:v>TIM-001, TIM-002</x:v>
      </x:c>
      <x:c r="N10" s="178" t="str">
        <x:v>SCN-01, SCN-17</x:v>
      </x:c>
      <x:c r="O10" s="178" t="str">
        <x:v>CMP-01</x:v>
      </x:c>
      <x:c r="P10" s="178" t="str">
        <x:v>world-strip-current</x:v>
      </x:c>
      <x:c r="Q10" s="246" t="str">
        <x:v>Approved</x:v>
      </x:c>
    </x:row>
    <x:row r="11" ht="76" customHeight="1">
      <x:c r="A11" s="179" t="str">
        <x:v>RM-003</x:v>
      </x:c>
      <x:c r="B11" s="179" t="str">
        <x:v>Read Model</x:v>
      </x:c>
      <x:c r="C11" s="179" t="str">
        <x:v>StageFrame</x:v>
      </x:c>
      <x:c r="D11" s="179" t="str">
        <x:v>Engine → UI</x:v>
      </x:c>
      <x:c r="E11" s="179" t="str">
        <x:v>Knowledge projection</x:v>
      </x:c>
      <x:c r="F11" s="179" t="str">
        <x:v>None</x:v>
      </x:c>
      <x:c r="G11" s="179" t="str">
        <x:v>core-loop.schema.json</x:v>
      </x:c>
      <x:c r="H11" s="179" t="str">
        <x:v>World state contains only projected facts</x:v>
      </x:c>
      <x:c r="I11" s="179" t="str">
        <x:v>Stage is bound to exact state and knowledge snapshot</x:v>
      </x:c>
      <x:c r="J11" s="179" t="str">
        <x:v>Adaptive modules emphasize current play without losing continuity</x:v>
      </x:c>
      <x:c r="K11" s="179" t="str">
        <x:v>Defeat/continuation variants; stale material suspends commit</x:v>
      </x:c>
      <x:c r="L11" s="179" t="str">
        <x:v>Stage region + concise update announcement</x:v>
      </x:c>
      <x:c r="M11" s="179" t="str">
        <x:v>FND-001, TIM-002</x:v>
      </x:c>
      <x:c r="N11" s="179" t="str">
        <x:v>SCN-01, SCN-06</x:v>
      </x:c>
      <x:c r="O11" s="179" t="str">
        <x:v>CMP-03, CMP-09</x:v>
      </x:c>
      <x:c r="P11" s="179" t="str">
        <x:v>stage-frame-current; stage-hidden-truth</x:v>
      </x:c>
      <x:c r="Q11" s="246" t="str">
        <x:v>Approved</x:v>
      </x:c>
    </x:row>
    <x:row r="12" ht="76" customHeight="1">
      <x:c r="A12" s="178" t="str">
        <x:v>RM-004</x:v>
      </x:c>
      <x:c r="B12" s="178" t="str">
        <x:v>Read Model</x:v>
      </x:c>
      <x:c r="C12" s="178" t="str">
        <x:v>EntityContextLens</x:v>
      </x:c>
      <x:c r="D12" s="178" t="str">
        <x:v>Engine → UI</x:v>
      </x:c>
      <x:c r="E12" s="178" t="str">
        <x:v>Knowledge projection</x:v>
      </x:c>
      <x:c r="F12" s="178" t="str">
        <x:v>None</x:v>
      </x:c>
      <x:c r="G12" s="178" t="str">
        <x:v>core-loop.schema.json</x:v>
      </x:c>
      <x:c r="H12" s="178" t="str">
        <x:v>Facts retain perceived/disputed/last-known class</x:v>
      </x:c>
      <x:c r="I12" s="178" t="str">
        <x:v>Lens uses same state and knowledge basis as Stage</x:v>
      </x:c>
      <x:c r="J12" s="178" t="str">
        <x:v>Player can inspect entity and request available actions</x:v>
      </x:c>
      <x:c r="K12" s="178" t="str">
        <x:v>Unavailable authority includes reason; no obedience meter</x:v>
      </x:c>
      <x:c r="L12" s="178" t="str">
        <x:v>Lens region and structured actions</x:v>
      </x:c>
      <x:c r="M12" s="178" t="str">
        <x:v>KNO-001, PTY-003</x:v>
      </x:c>
      <x:c r="N12" s="178" t="str">
        <x:v>SCN-07–10</x:v>
      </x:c>
      <x:c r="O12" s="178" t="str">
        <x:v>CMP-04, CMP-10</x:v>
      </x:c>
      <x:c r="P12" s="178" t="str">
        <x:v>context-lens-disputed</x:v>
      </x:c>
      <x:c r="Q12" s="246" t="str">
        <x:v>Approved</x:v>
      </x:c>
    </x:row>
    <x:row r="13" ht="76" customHeight="1">
      <x:c r="A13" s="179" t="str">
        <x:v>RM-005</x:v>
      </x:c>
      <x:c r="B13" s="179" t="str">
        <x:v>Read Model</x:v>
      </x:c>
      <x:c r="C13" s="179" t="str">
        <x:v>IntentCapability</x:v>
      </x:c>
      <x:c r="D13" s="179" t="str">
        <x:v>Engine → UI</x:v>
      </x:c>
      <x:c r="E13" s="179" t="str">
        <x:v>Validator projection</x:v>
      </x:c>
      <x:c r="F13" s="179" t="str">
        <x:v>None</x:v>
      </x:c>
      <x:c r="G13" s="179" t="str">
        <x:v>core-loop.schema.json</x:v>
      </x:c>
      <x:c r="H13" s="179" t="str">
        <x:v>Examples are viewpoint-safe and explicitly not permissions</x:v>
      </x:c>
      <x:c r="I13" s="179" t="str">
        <x:v>Capability is versioned with current legal input context</x:v>
      </x:c>
      <x:c r="J13" s="179" t="str">
        <x:v>Free intent plus alternate input is always primary</x:v>
      </x:c>
      <x:c r="K13" s="179" t="str">
        <x:v>Empty suggestions still retain free intent</x:v>
      </x:c>
      <x:c r="L13" s="179" t="str">
        <x:v>Input modes and suggestion labels are non-pointer accessible</x:v>
      </x:c>
      <x:c r="M13" s="179" t="str">
        <x:v>FND-001, FND-002</x:v>
      </x:c>
      <x:c r="N13" s="179" t="str">
        <x:v>SCN-01, SCN-16</x:v>
      </x:c>
      <x:c r="O13" s="179" t="str">
        <x:v>CMP-05, CMP-39</x:v>
      </x:c>
      <x:c r="P13" s="179" t="str">
        <x:v>intent-capability</x:v>
      </x:c>
      <x:c r="Q13" s="246" t="str">
        <x:v>Approved</x:v>
      </x:c>
    </x:row>
    <x:row r="14" ht="76" customHeight="1">
      <x:c r="A14" s="178" t="str">
        <x:v>RM-C1-001</x:v>
      </x:c>
      <x:c r="B14" s="178" t="str">
        <x:v>Read Model</x:v>
      </x:c>
      <x:c r="C14" s="178" t="str">
        <x:v>InterpretedProposal</x:v>
      </x:c>
      <x:c r="D14" s="178" t="str">
        <x:v>Engine → UI</x:v>
      </x:c>
      <x:c r="E14" s="178" t="str">
        <x:v>Intent interpreter + validator</x:v>
      </x:c>
      <x:c r="F14" s="178" t="str">
        <x:v>None</x:v>
      </x:c>
      <x:c r="G14" s="178" t="str">
        <x:v>core-loop.schema.json</x:v>
      </x:c>
      <x:c r="H14" s="178" t="str">
        <x:v>Assumptions are accessible KnowledgeFacts</x:v>
      </x:c>
      <x:c r="I14" s="178" t="str">
        <x:v>proposal_version is immutable and superseded on revision</x:v>
      </x:c>
      <x:c r="J14" s="178" t="str">
        <x:v>Goal, method, target, scope, ambiguity and cost are reviewable</x:v>
      </x:c>
      <x:c r="K14" s="178" t="str">
        <x:v>stale_material; material ambiguity</x:v>
      </x:c>
      <x:c r="L14" s="178" t="str">
        <x:v>Review packet with structured ambiguities</x:v>
      </x:c>
      <x:c r="M14" s="178" t="str">
        <x:v>FND-003</x:v>
      </x:c>
      <x:c r="N14" s="178" t="str">
        <x:v>SCN-04, SCN-05</x:v>
      </x:c>
      <x:c r="O14" s="178" t="str">
        <x:v>CMP-13</x:v>
      </x:c>
      <x:c r="P14" s="178" t="str">
        <x:v>interpreted-proposal</x:v>
      </x:c>
      <x:c r="Q14" s="246" t="str">
        <x:v>Approved</x:v>
      </x:c>
    </x:row>
    <x:row r="15" ht="76" customHeight="1">
      <x:c r="A15" s="179" t="str">
        <x:v>RM-C1-002</x:v>
      </x:c>
      <x:c r="B15" s="179" t="str">
        <x:v>Read Model</x:v>
      </x:c>
      <x:c r="C15" s="179" t="str">
        <x:v>ProposalForecast</x:v>
      </x:c>
      <x:c r="D15" s="179" t="str">
        <x:v>Engine → UI</x:v>
      </x:c>
      <x:c r="E15" s="179" t="str">
        <x:v>Forecast service</x:v>
      </x:c>
      <x:c r="F15" s="179" t="str">
        <x:v>None</x:v>
      </x:c>
      <x:c r="G15" s="179" t="str">
        <x:v>core-loop.schema.json</x:v>
      </x:c>
      <x:c r="H15" s="179" t="str">
        <x:v>Accessible assumptions only; noncanonical=true</x:v>
      </x:c>
      <x:c r="I15" s="179" t="str">
        <x:v>Bound to proposal version and invalidation conditions</x:v>
      </x:c>
      <x:c r="J15" s="179" t="str">
        <x:v>Banded risk and possible outcomes support judgment</x:v>
      </x:c>
      <x:c r="K15" s="179" t="str">
        <x:v>unknown risk; invalidated forecast</x:v>
      </x:c>
      <x:c r="L15" s="179" t="str">
        <x:v>Forecast is labeled noncanonical in text</x:v>
      </x:c>
      <x:c r="M15" s="179" t="str">
        <x:v>FND-003, KNO-001</x:v>
      </x:c>
      <x:c r="N15" s="179" t="str">
        <x:v>SCN-04</x:v>
      </x:c>
      <x:c r="O15" s="179" t="str">
        <x:v>CMP-14</x:v>
      </x:c>
      <x:c r="P15" s="179" t="str">
        <x:v>proposal-forecast</x:v>
      </x:c>
      <x:c r="Q15" s="246" t="str">
        <x:v>Approved</x:v>
      </x:c>
    </x:row>
    <x:row r="16" ht="76" customHeight="1">
      <x:c r="A16" s="178" t="str">
        <x:v>RM-C1-003</x:v>
      </x:c>
      <x:c r="B16" s="178" t="str">
        <x:v>Read Model</x:v>
      </x:c>
      <x:c r="C16" s="178" t="str">
        <x:v>ResolutionBeat</x:v>
      </x:c>
      <x:c r="D16" s="178" t="str">
        <x:v>Engine → UI</x:v>
      </x:c>
      <x:c r="E16" s="178" t="str">
        <x:v>Reducer projection</x:v>
      </x:c>
      <x:c r="F16" s="178" t="str">
        <x:v>None; reflects committed events</x:v>
      </x:c>
      <x:c r="G16" s="178" t="str">
        <x:v>core-loop.schema.json</x:v>
      </x:c>
      <x:c r="H16" s="178" t="str">
        <x:v>World deltas are projected KnowledgeFacts</x:v>
      </x:c>
      <x:c r="I16" s="178" t="str">
        <x:v>Event IDs and new state bind the presentation</x:v>
      </x:c>
      <x:c r="J16" s="178" t="str">
        <x:v>Result, spend and continuation are inspectable</x:v>
      </x:c>
      <x:c r="K16" s="178" t="str">
        <x:v>Mixed, refusal, interruption, unavailable, invalid, destructive, conflict</x:v>
      </x:c>
      <x:c r="L16" s="178" t="str">
        <x:v>Resolution summary plus structured continuation choices</x:v>
      </x:c>
      <x:c r="M16" s="178" t="str">
        <x:v>FND-007</x:v>
      </x:c>
      <x:c r="N16" s="178" t="str">
        <x:v>SCN-04, SCN-06, SCN-11</x:v>
      </x:c>
      <x:c r="O16" s="178" t="str">
        <x:v>CMP-16</x:v>
      </x:c>
      <x:c r="P16" s="178" t="str">
        <x:v>resolution-beat-mixed</x:v>
      </x:c>
      <x:c r="Q16" s="246" t="str">
        <x:v>Approved</x:v>
      </x:c>
    </x:row>
    <x:row r="17" ht="76" customHeight="1">
      <x:c r="A17" s="179" t="str">
        <x:v>CMD-001</x:v>
      </x:c>
      <x:c r="B17" s="179" t="str">
        <x:v>Command</x:v>
      </x:c>
      <x:c r="C17" s="179" t="str">
        <x:v>interpretIntent</x:v>
      </x:c>
      <x:c r="D17" s="179" t="str">
        <x:v>UI → Engine</x:v>
      </x:c>
      <x:c r="E17" s="179" t="str">
        <x:v>Intent interpreter</x:v>
      </x:c>
      <x:c r="F17" s="179" t="str">
        <x:v>None</x:v>
      </x:c>
      <x:c r="G17" s="179" t="str">
        <x:v>OpenAPI + command schema</x:v>
      </x:c>
      <x:c r="H17" s="179" t="str">
        <x:v>Input may cite only visible context refs</x:v>
      </x:c>
      <x:c r="I17" s="179" t="str">
        <x:v>Uses reviewed state and knowledge snapshot</x:v>
      </x:c>
      <x:c r="J17" s="179" t="str">
        <x:v>Creates a versioned noncanonical proposal</x:v>
      </x:c>
      <x:c r="K17" s="179" t="str">
        <x:v>Actor-safe rejection; clarification required</x:v>
      </x:c>
      <x:c r="L17" s="179" t="str">
        <x:v>Input provenance preserves alternate mode</x:v>
      </x:c>
      <x:c r="M17" s="179" t="str">
        <x:v>FND-003</x:v>
      </x:c>
      <x:c r="N17" s="179" t="str">
        <x:v>SCN-04</x:v>
      </x:c>
      <x:c r="O17" s="179" t="str">
        <x:v>CMP-13</x:v>
      </x:c>
      <x:c r="P17" s="179" t="str">
        <x:v>interpret-intent-command</x:v>
      </x:c>
      <x:c r="Q17" s="246" t="str">
        <x:v>Approved</x:v>
      </x:c>
    </x:row>
    <x:row r="18" ht="76" customHeight="1">
      <x:c r="A18" s="178" t="str">
        <x:v>CMD-002</x:v>
      </x:c>
      <x:c r="B18" s="178" t="str">
        <x:v>Command</x:v>
      </x:c>
      <x:c r="C18" s="178" t="str">
        <x:v>reviseProposal</x:v>
      </x:c>
      <x:c r="D18" s="178" t="str">
        <x:v>UI → Engine</x:v>
      </x:c>
      <x:c r="E18" s="178" t="str">
        <x:v>Intent interpreter + validator</x:v>
      </x:c>
      <x:c r="F18" s="178" t="str">
        <x:v>None</x:v>
      </x:c>
      <x:c r="G18" s="178" t="str">
        <x:v>OpenAPI + command schema</x:v>
      </x:c>
      <x:c r="H18" s="178" t="str">
        <x:v>Only player-authorized field revisions</x:v>
      </x:c>
      <x:c r="I18" s="178" t="str">
        <x:v>Supersedes proposal version; never edits in place</x:v>
      </x:c>
      <x:c r="J18" s="178" t="str">
        <x:v>Corrected interpretation returned</x:v>
      </x:c>
      <x:c r="K18" s="178" t="str">
        <x:v>Conflict if material state changed</x:v>
      </x:c>
      <x:c r="L18" s="178" t="str">
        <x:v>Changed fields remain explicit</x:v>
      </x:c>
      <x:c r="M18" s="178" t="str">
        <x:v>FND-003, TIM-006</x:v>
      </x:c>
      <x:c r="N18" s="178" t="str">
        <x:v>SCN-05</x:v>
      </x:c>
      <x:c r="O18" s="178" t="str">
        <x:v>CMP-08, CMP-13</x:v>
      </x:c>
      <x:c r="P18" s="178" t="str">
        <x:v>schema validation</x:v>
      </x:c>
      <x:c r="Q18" s="246" t="str">
        <x:v>Approved</x:v>
      </x:c>
    </x:row>
    <x:row r="19" ht="76" customHeight="1">
      <x:c r="A19" s="179" t="str">
        <x:v>CMD-003</x:v>
      </x:c>
      <x:c r="B19" s="179" t="str">
        <x:v>Command</x:v>
      </x:c>
      <x:c r="C19" s="179" t="str">
        <x:v>forecastProposal</x:v>
      </x:c>
      <x:c r="D19" s="179" t="str">
        <x:v>UI → Engine</x:v>
      </x:c>
      <x:c r="E19" s="179" t="str">
        <x:v>Forecast service</x:v>
      </x:c>
      <x:c r="F19" s="179" t="str">
        <x:v>None</x:v>
      </x:c>
      <x:c r="G19" s="179" t="str">
        <x:v>OpenAPI + command schema</x:v>
      </x:c>
      <x:c r="H19" s="179" t="str">
        <x:v>Knowledge ceiling matches proposal</x:v>
      </x:c>
      <x:c r="I19" s="179" t="str">
        <x:v>Forecast is bound to proposal version</x:v>
      </x:c>
      <x:c r="J19" s="179" t="str">
        <x:v>Noncanonical banded forecast returned</x:v>
      </x:c>
      <x:c r="K19" s="179" t="str">
        <x:v>Unavailable provider; stale proposal</x:v>
      </x:c>
      <x:c r="L19" s="179" t="str">
        <x:v>Forecast label and assumptions remain readable</x:v>
      </x:c>
      <x:c r="M19" s="179" t="str">
        <x:v>FND-003</x:v>
      </x:c>
      <x:c r="N19" s="179" t="str">
        <x:v>SCN-04</x:v>
      </x:c>
      <x:c r="O19" s="179" t="str">
        <x:v>CMP-14</x:v>
      </x:c>
      <x:c r="P19" s="179" t="str">
        <x:v>proposal-forecast</x:v>
      </x:c>
      <x:c r="Q19" s="246" t="str">
        <x:v>Approved</x:v>
      </x:c>
    </x:row>
    <x:row r="20" ht="76" customHeight="1">
      <x:c r="A20" s="178" t="str">
        <x:v>CMD-004</x:v>
      </x:c>
      <x:c r="B20" s="178" t="str">
        <x:v>Command</x:v>
      </x:c>
      <x:c r="C20" s="178" t="str">
        <x:v>commitAction</x:v>
      </x:c>
      <x:c r="D20" s="178" t="str">
        <x:v>UI → Engine</x:v>
      </x:c>
      <x:c r="E20" s="178" t="str">
        <x:v>Validator + reducer</x:v>
      </x:c>
      <x:c r="F20" s="178" t="str">
        <x:v>May mutate canon</x:v>
      </x:c>
      <x:c r="G20" s="178" t="str">
        <x:v>OpenAPI + command schema</x:v>
      </x:c>
      <x:c r="H20" s="178" t="str">
        <x:v>Commits only the reviewed proposal</x:v>
      </x:c>
      <x:c r="I20" s="178" t="str">
        <x:v>Idempotency key + source state + proposal version required</x:v>
      </x:c>
      <x:c r="J20" s="178" t="str">
        <x:v>Durable committed receipt with events and state</x:v>
      </x:c>
      <x:c r="K20" s="178" t="str">
        <x:v>Rejected, refused, interrupted, unavailable, replan, conflict, unknown commit</x:v>
      </x:c>
      <x:c r="L20" s="178" t="str">
        <x:v>Consequence acknowledgement and resulting status announced</x:v>
      </x:c>
      <x:c r="M20" s="178" t="str">
        <x:v>TIM-005, FND-004</x:v>
      </x:c>
      <x:c r="N20" s="178" t="str">
        <x:v>SCN-04, SCN-05</x:v>
      </x:c>
      <x:c r="O20" s="178" t="str">
        <x:v>CMP-15, CMP-17</x:v>
      </x:c>
      <x:c r="P20" s="178" t="str">
        <x:v>commit + outcome fixtures; no-idempotency negative</x:v>
      </x:c>
      <x:c r="Q20" s="246" t="str">
        <x:v>Approved</x:v>
      </x:c>
    </x:row>
    <x:row r="21" ht="76" customHeight="1">
      <x:c r="A21" s="179" t="str">
        <x:v>CMD-013</x:v>
      </x:c>
      <x:c r="B21" s="179" t="str">
        <x:v>Command</x:v>
      </x:c>
      <x:c r="C21" s="179" t="str">
        <x:v>resolveCommitStatus</x:v>
      </x:c>
      <x:c r="D21" s="179" t="str">
        <x:v>UI → Engine</x:v>
      </x:c>
      <x:c r="E21" s="179" t="str">
        <x:v>Command gateway</x:v>
      </x:c>
      <x:c r="F21" s="179" t="str">
        <x:v>None</x:v>
      </x:c>
      <x:c r="G21" s="179" t="str">
        <x:v>OpenAPI + command schema</x:v>
      </x:c>
      <x:c r="H21" s="179" t="str">
        <x:v>Lookup returns only authorized receipt</x:v>
      </x:c>
      <x:c r="I21" s="179" t="str">
        <x:v>Original command and idempotency key required</x:v>
      </x:c>
      <x:c r="J21" s="179" t="str">
        <x:v>Committed/uncommitted/pending status resolves before retry</x:v>
      </x:c>
      <x:c r="K21" s="179" t="str">
        <x:v>Unknown remains honest; no duplicate retry</x:v>
      </x:c>
      <x:c r="L21" s="179" t="str">
        <x:v>Recovery action announced assertively</x:v>
      </x:c>
      <x:c r="M21" s="179" t="str">
        <x:v>TIM-005, GAP-014</x:v>
      </x:c>
      <x:c r="N21" s="179" t="str">
        <x:v>SCN-17</x:v>
      </x:c>
      <x:c r="O21" s="179" t="str">
        <x:v>CMP-08, CMP-38</x:v>
      </x:c>
      <x:c r="P21" s="179" t="str">
        <x:v>unknown receipt + status lookup</x:v>
      </x:c>
      <x:c r="Q21" s="246" t="str">
        <x:v>Approved</x:v>
      </x:c>
    </x:row>
    <x:row r="22" ht="76" customHeight="1">
      <x:c r="A22" s="178" t="str">
        <x:v>EVF-001</x:v>
      </x:c>
      <x:c r="B22" s="178" t="str">
        <x:v>Event</x:v>
      </x:c>
      <x:c r="C22" s="178" t="str">
        <x:v>canonical_state_committed</x:v>
      </x:c>
      <x:c r="D22" s="178" t="str">
        <x:v>Engine → UI</x:v>
      </x:c>
      <x:c r="E22" s="178" t="str">
        <x:v>Reducer/event stream</x:v>
      </x:c>
      <x:c r="F22" s="178" t="str">
        <x:v>Reflects canonical mutation</x:v>
      </x:c>
      <x:c r="G22" s="178" t="str">
        <x:v>AsyncAPI + event schema</x:v>
      </x:c>
      <x:c r="H22" s="178" t="str">
        <x:v>Event lineage contains no hidden payload truth</x:v>
      </x:c>
      <x:c r="I22" s="178" t="str">
        <x:v>Previous/new state versions and causation required</x:v>
      </x:c>
      <x:c r="J22" s="178" t="str">
        <x:v>Projection invalidation can follow committed state</x:v>
      </x:c>
      <x:c r="K22" s="178" t="str">
        <x:v>Reconnect resumes by version/cursor</x:v>
      </x:c>
      <x:c r="L22" s="178" t="str">
        <x:v>Status announcement may accompany event</x:v>
      </x:c>
      <x:c r="M22" s="178" t="str">
        <x:v>TIM-001, TIM-005</x:v>
      </x:c>
      <x:c r="N22" s="178" t="str">
        <x:v>SCN-04</x:v>
      </x:c>
      <x:c r="O22" s="178" t="str">
        <x:v>CMP-06, CMP-17</x:v>
      </x:c>
      <x:c r="P22" s="178" t="str">
        <x:v>schema reference validation</x:v>
      </x:c>
      <x:c r="Q22" s="246" t="str">
        <x:v>Approved</x:v>
      </x:c>
    </x:row>
    <x:row r="23" ht="76" customHeight="1">
      <x:c r="A23" s="179" t="str">
        <x:v>EVF-002</x:v>
      </x:c>
      <x:c r="B23" s="179" t="str">
        <x:v>Event</x:v>
      </x:c>
      <x:c r="C23" s="179" t="str">
        <x:v>accessible_projection_updated</x:v>
      </x:c>
      <x:c r="D23" s="179" t="str">
        <x:v>Engine → UI</x:v>
      </x:c>
      <x:c r="E23" s="179" t="str">
        <x:v>Knowledge projection</x:v>
      </x:c>
      <x:c r="F23" s="179" t="str">
        <x:v>None</x:v>
      </x:c>
      <x:c r="G23" s="179" t="str">
        <x:v>AsyncAPI + event schema</x:v>
      </x:c>
      <x:c r="H23" s="179" t="str">
        <x:v>Only payload types and safe knowledge snapshot identifiers</x:v>
      </x:c>
      <x:c r="I23" s="179" t="str">
        <x:v>Freshness explicitly labels the update</x:v>
      </x:c>
      <x:c r="J23" s="179" t="str">
        <x:v>UI knows which projections to refresh</x:v>
      </x:c>
      <x:c r="K23" s="179" t="str">
        <x:v>last_known, disputed, stale_material</x:v>
      </x:c>
      <x:c r="L23" s="179" t="str">
        <x:v>Polite deduplicated update</x:v>
      </x:c>
      <x:c r="M23" s="179" t="str">
        <x:v>KNO-001, TIM-006</x:v>
      </x:c>
      <x:c r="N23" s="179" t="str">
        <x:v>SCN-09, SCN-10</x:v>
      </x:c>
      <x:c r="O23" s="179" t="str">
        <x:v>CMP-03, CMP-04</x:v>
      </x:c>
      <x:c r="P23" s="179" t="str">
        <x:v>schema reference validation</x:v>
      </x:c>
      <x:c r="Q23" s="246" t="str">
        <x:v>Approved</x:v>
      </x:c>
    </x:row>
    <x:row r="24" ht="76" customHeight="1">
      <x:c r="A24" s="178" t="str">
        <x:v>EVF-003</x:v>
      </x:c>
      <x:c r="B24" s="178" t="str">
        <x:v>Event</x:v>
      </x:c>
      <x:c r="C24" s="178" t="str">
        <x:v>decision_window_changed</x:v>
      </x:c>
      <x:c r="D24" s="178" t="str">
        <x:v>Engine → UI</x:v>
      </x:c>
      <x:c r="E24" s="178" t="str">
        <x:v>Timing validator</x:v>
      </x:c>
      <x:c r="F24" s="178" t="str">
        <x:v>None by itself</x:v>
      </x:c>
      <x:c r="G24" s="178" t="str">
        <x:v>AsyncAPI + event schema</x:v>
      </x:c>
      <x:c r="H24" s="178" t="str">
        <x:v>Only legal response types for current viewpoint</x:v>
      </x:c>
      <x:c r="I24" s="178" t="str">
        <x:v>Window state is ordered by event/state version</x:v>
      </x:c>
      <x:c r="J24" s="178" t="str">
        <x:v>Open/close/expire/resolve remain distinct</x:v>
      </x:c>
      <x:c r="K24" s="178" t="str">
        <x:v>Closed window returns timing unavailability</x:v>
      </x:c>
      <x:c r="L24" s="178" t="str">
        <x:v>Timer/decision semantics without visual-only urgency</x:v>
      </x:c>
      <x:c r="M24" s="178" t="str">
        <x:v>COM-001, COM-008</x:v>
      </x:c>
      <x:c r="N24" s="178" t="str">
        <x:v>SCN-06</x:v>
      </x:c>
      <x:c r="O24" s="178" t="str">
        <x:v>CMP-18</x:v>
      </x:c>
      <x:c r="P24" s="178" t="str">
        <x:v>schema reference validation</x:v>
      </x:c>
      <x:c r="Q24" s="246" t="str">
        <x:v>Approved</x:v>
      </x:c>
    </x:row>
    <x:row r="25" ht="76" customHeight="1">
      <x:c r="A25" s="179" t="str">
        <x:v>EVF-004</x:v>
      </x:c>
      <x:c r="B25" s="179" t="str">
        <x:v>Event</x:v>
      </x:c>
      <x:c r="C25" s="179" t="str">
        <x:v>command_status_changed</x:v>
      </x:c>
      <x:c r="D25" s="179" t="str">
        <x:v>Engine → UI</x:v>
      </x:c>
      <x:c r="E25" s="179" t="str">
        <x:v>Command gateway</x:v>
      </x:c>
      <x:c r="F25" s="179" t="str">
        <x:v>None by itself</x:v>
      </x:c>
      <x:c r="G25" s="179" t="str">
        <x:v>AsyncAPI + event schema</x:v>
      </x:c>
      <x:c r="H25" s="179" t="str">
        <x:v>Receipt status only</x:v>
      </x:c>
      <x:c r="I25" s="179" t="str">
        <x:v>Correlated to command and state version</x:v>
      </x:c>
      <x:c r="J25" s="179" t="str">
        <x:v>Pending and final command status is durable</x:v>
      </x:c>
      <x:c r="K25" s="179" t="str">
        <x:v>unknown_commit and retryable_failure distinguished</x:v>
      </x:c>
      <x:c r="L25" s="179" t="str">
        <x:v>Status announcement uses stable dedupe key</x:v>
      </x:c>
      <x:c r="M25" s="179" t="str">
        <x:v>TIM-005</x:v>
      </x:c>
      <x:c r="N25" s="179" t="str">
        <x:v>SCN-17</x:v>
      </x:c>
      <x:c r="O25" s="179" t="str">
        <x:v>CMP-17, CMP-38</x:v>
      </x:c>
      <x:c r="P25" s="179" t="str">
        <x:v>schema reference validation</x:v>
      </x:c>
      <x:c r="Q25" s="246" t="str">
        <x:v>Approved</x:v>
      </x:c>
    </x:row>
    <x:row r="26" ht="76" customHeight="1">
      <x:c r="A26" s="178" t="str">
        <x:v>EVF-007</x:v>
      </x:c>
      <x:c r="B26" s="178" t="str">
        <x:v>Event</x:v>
      </x:c>
      <x:c r="C26" s="178" t="str">
        <x:v>recovery_required</x:v>
      </x:c>
      <x:c r="D26" s="178" t="str">
        <x:v>Engine → UI</x:v>
      </x:c>
      <x:c r="E26" s="178" t="str">
        <x:v>Recovery boundary</x:v>
      </x:c>
      <x:c r="F26" s="178" t="str">
        <x:v>None</x:v>
      </x:c>
      <x:c r="G26" s="178" t="str">
        <x:v>AsyncAPI + event schema</x:v>
      </x:c>
      <x:c r="H26" s="178" t="str">
        <x:v>Public outcome and safe recovery only</x:v>
      </x:c>
      <x:c r="I26" s="178" t="str">
        <x:v>Names current state and lookup target where relevant</x:v>
      </x:c>
      <x:c r="J26" s="178" t="str">
        <x:v>Next safe action is explicit</x:v>
      </x:c>
      <x:c r="K26" s="178" t="str">
        <x:v>Unknown commit, stale proposal, provider failure, conflict</x:v>
      </x:c>
      <x:c r="L26" s="178" t="str">
        <x:v>Assertive alert without automatic focus theft</x:v>
      </x:c>
      <x:c r="M26" s="178" t="str">
        <x:v>TIM-005, TIM-006</x:v>
      </x:c>
      <x:c r="N26" s="178" t="str">
        <x:v>SCN-17</x:v>
      </x:c>
      <x:c r="O26" s="178" t="str">
        <x:v>CMP-08, CMP-38</x:v>
      </x:c>
      <x:c r="P26" s="178" t="str">
        <x:v>recovery-required-event</x:v>
      </x:c>
      <x:c r="Q26" s="246" t="str">
        <x:v>Approved</x:v>
      </x:c>
    </x:row>
    <x:row r="27" ht="76" customHeight="1">
      <x:c r="A27" s="179" t="str">
        <x:v>EVF-010</x:v>
      </x:c>
      <x:c r="B27" s="179" t="str">
        <x:v>Event</x:v>
      </x:c>
      <x:c r="C27" s="179" t="str">
        <x:v>accessibility_announcement</x:v>
      </x:c>
      <x:c r="D27" s="179" t="str">
        <x:v>Engine → UI</x:v>
      </x:c>
      <x:c r="E27" s="179" t="str">
        <x:v>Projection boundary</x:v>
      </x:c>
      <x:c r="F27" s="179" t="str">
        <x:v>None</x:v>
      </x:c>
      <x:c r="G27" s="179" t="str">
        <x:v>AsyncAPI + event schema</x:v>
      </x:c>
      <x:c r="H27" s="179" t="str">
        <x:v>Same knowledge ceiling as triggering update</x:v>
      </x:c>
      <x:c r="I27" s="179" t="str">
        <x:v>dedupe_key prevents repeated announcement</x:v>
      </x:c>
      <x:c r="J27" s="179" t="str">
        <x:v>Material changes have equivalent semantic output</x:v>
      </x:c>
      <x:c r="K27" s="179" t="str">
        <x:v>Missing semantic payload rejected</x:v>
      </x:c>
      <x:c r="L27" s="179" t="str">
        <x:v>Role, priority, text alternative, structured choices</x:v>
      </x:c>
      <x:c r="M27" s="179" t="str">
        <x:v>ACC-002–004</x:v>
      </x:c>
      <x:c r="N27" s="179" t="str">
        <x:v>SCN-16</x:v>
      </x:c>
      <x:c r="O27" s="179" t="str">
        <x:v>CMP-35–40</x:v>
      </x:c>
      <x:c r="P27" s="179" t="str">
        <x:v>recovery-required-event</x:v>
      </x:c>
      <x:c r="Q27" s="246" t="str">
        <x:v>Approved</x:v>
      </x:c>
    </x:row>
    <x:row r="28" ht="76" customHeight="1">
      <x:c r="A28" s="178" t="str">
        <x:v>API-C1</x:v>
      </x:c>
      <x:c r="B28" s="178" t="str">
        <x:v>API</x:v>
      </x:c>
      <x:c r="C28" s="178" t="str">
        <x:v>9 synchronous read/command operations</x:v>
      </x:c>
      <x:c r="D28" s="178" t="str">
        <x:v>Bidirectional</x:v>
      </x:c>
      <x:c r="E28" s="178" t="str">
        <x:v>Contract gateway</x:v>
      </x:c>
      <x:c r="F28" s="178" t="str">
        <x:v>Only commitAction may request mutation</x:v>
      </x:c>
      <x:c r="G28" s="178" t="str">
        <x:v>mythic-ui-c1.yaml</x:v>
      </x:c>
      <x:c r="H28" s="178" t="str">
        <x:v>Viewpoint header required for projections</x:v>
      </x:c>
      <x:c r="I28" s="178" t="str">
        <x:v>State/proposal/idempotency context travels in payload</x:v>
      </x:c>
      <x:c r="J28" s="178" t="str">
        <x:v>Core desktop loop is addressable without a chat endpoint</x:v>
      </x:c>
      <x:c r="K28" s="178" t="str">
        <x:v>409/422/unknown recovery are explicit</x:v>
      </x:c>
      <x:c r="L28" s="178" t="str">
        <x:v>Response schemas carry semantic companions</x:v>
      </x:c>
      <x:c r="M28" s="178" t="str">
        <x:v>FND-001–004, TIM-005</x:v>
      </x:c>
      <x:c r="N28" s="178" t="str">
        <x:v>SCN-01, SCN-04, SCN-05</x:v>
      </x:c>
      <x:c r="O28" s="178" t="str">
        <x:v>CMP-01–17</x:v>
      </x:c>
      <x:c r="P28" s="178" t="str">
        <x:v>OpenAPI operation/ref validation</x:v>
      </x:c>
      <x:c r="Q28" s="246" t="str">
        <x:v>Approved</x:v>
      </x:c>
    </x:row>
    <x:row r="29" ht="76" customHeight="1">
      <x:c r="A29" s="179" t="str">
        <x:v>ASYNC-C1</x:v>
      </x:c>
      <x:c r="B29" s="179" t="str">
        <x:v>Event API</x:v>
      </x:c>
      <x:c r="C29" s="179" t="str">
        <x:v>6 viewpoint-safe event messages</x:v>
      </x:c>
      <x:c r="D29" s="179" t="str">
        <x:v>Engine → UI</x:v>
      </x:c>
      <x:c r="E29" s="179" t="str">
        <x:v>Event stream</x:v>
      </x:c>
      <x:c r="F29" s="179" t="str">
        <x:v>Events report; reducers mutate</x:v>
      </x:c>
      <x:c r="G29" s="179" t="str">
        <x:v>mythic-events-c1.yaml</x:v>
      </x:c>
      <x:c r="H29" s="179" t="str">
        <x:v>Channel is campaign + viewpoint scoped</x:v>
      </x:c>
      <x:c r="I29" s="179" t="str">
        <x:v>Event envelope carries order/correlation/causation</x:v>
      </x:c>
      <x:c r="J29" s="179" t="str">
        <x:v>Stage can react without polling or transcript behavior</x:v>
      </x:c>
      <x:c r="K29" s="179" t="str">
        <x:v>Reconnect and recovery handled by version/cursor contracts</x:v>
      </x:c>
      <x:c r="L29" s="179" t="str">
        <x:v>Accessibility message is first-class</x:v>
      </x:c>
      <x:c r="M29" s="179" t="str">
        <x:v>TIM-005–006, ACC-003</x:v>
      </x:c>
      <x:c r="N29" s="179" t="str">
        <x:v>SCN-06, SCN-16, SCN-17</x:v>
      </x:c>
      <x:c r="O29" s="179" t="str">
        <x:v>CMP-03, CMP-18, CMP-38</x:v>
      </x:c>
      <x:c r="P29" s="179" t="str">
        <x:v>AsyncAPI message/ref validation</x:v>
      </x:c>
      <x:c r="Q29" s="246" t="str">
        <x:v>Approved</x:v>
      </x:c>
    </x:row>
    <x:row r="30" ht="76" customHeight="1">
      <x:c r="A30" s="180" t="str">
        <x:v>GEN-C1</x:v>
      </x:c>
      <x:c r="B30" s="180" t="str">
        <x:v>Generation</x:v>
      </x:c>
      <x:c r="C30" s="180" t="str">
        <x:v>Consumer generation policy</x:v>
      </x:c>
      <x:c r="D30" s="180" t="str">
        <x:v>Schema → consumers</x:v>
      </x:c>
      <x:c r="E30" s="180" t="str">
        <x:v>Build system (C4)</x:v>
      </x:c>
      <x:c r="F30" s="180" t="str">
        <x:v>None</x:v>
      </x:c>
      <x:c r="G30" s="180" t="str">
        <x:v>generation-policy.json</x:v>
      </x:c>
      <x:c r="H30" s="180" t="str">
        <x:v>Consumers cannot add hidden fields</x:v>
      </x:c>
      <x:c r="I30" s="180" t="str">
        <x:v>Generated output must match schema version</x:v>
      </x:c>
      <x:c r="J30" s="180" t="str">
        <x:v>TypeScript types and runtime validation derive from schema</x:v>
      </x:c>
      <x:c r="K30" s="180" t="str">
        <x:v>Drift fails CI after tool selection</x:v>
      </x:c>
      <x:c r="L30" s="180" t="str">
        <x:v>Semantic data remains typed</x:v>
      </x:c>
      <x:c r="M30" s="180" t="str">
        <x:v>FND-003, ACC-003</x:v>
      </x:c>
      <x:c r="N30" s="180" t="str">
        <x:v>SCN-16</x:v>
      </x:c>
      <x:c r="O30" s="180" t="str">
        <x:v>CMP-01–40</x:v>
      </x:c>
      <x:c r="P30" s="180" t="str">
        <x:v>Policy present; tool selection deferred to C4</x:v>
      </x:c>
      <x:c r="Q30" s="247" t="str">
        <x:v>Approved</x:v>
      </x:c>
    </x:row>
  </x:sheetData>
  <x:mergeCells>
    <x:mergeCell ref="A1:Q1"/>
    <x:mergeCell ref="A2:Q2"/>
  </x:mergeCells>
  <x:dataValidations count="1">
    <x:dataValidation type="list" sqref="Q5:Q30">
      <x:formula1>"Candidate,Approved,Deferred"</x:formula1>
    </x:dataValidation>
  </x:dataValidations>
  <x:pageMargins left="0.7" right="0.7" top="0.75" bottom="0.75" header="0.3" footer="0.3"/>
  <x:tableParts count="1">
    <x:tablePart xmlns:r="http://schemas.openxmlformats.org/officeDocument/2006/relationships" r:id="R079b54f7f899490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0" hidden="0" customWidth="1"/>
    <x:col min="2" max="2" width="12" hidden="0" customWidth="1"/>
    <x:col min="3" max="3" width="42" hidden="0" customWidth="1"/>
    <x:col min="4" max="4" width="32" hidden="0" customWidth="1"/>
    <x:col min="5" max="5" width="11" hidden="0" customWidth="1"/>
    <x:col min="6" max="6" width="26" hidden="0" customWidth="1"/>
    <x:col min="7" max="7" width="48" hidden="0" customWidth="1"/>
    <x:col min="8" max="8" width="40" hidden="0" customWidth="1"/>
  </x:cols>
  <x:sheetData>
    <x:row r="1">
      <x:c r="A1" s="183" t="str">
        <x:v>CHECKPOINT C1 • EXECUTABLE FIXTURE COVERAGE</x:v>
      </x:c>
      <x:c r="B1" s="183" t="str">
        <x:v>CHECKPOINT C1 • EXECUTABLE FIXTURE COVERAGE</x:v>
      </x:c>
      <x:c r="C1" s="183" t="str">
        <x:v>CHECKPOINT C1 • EXECUTABLE FIXTURE COVERAGE</x:v>
      </x:c>
      <x:c r="D1" s="183" t="str">
        <x:v>CHECKPOINT C1 • EXECUTABLE FIXTURE COVERAGE</x:v>
      </x:c>
      <x:c r="E1" s="183" t="str">
        <x:v>CHECKPOINT C1 • EXECUTABLE FIXTURE COVERAGE</x:v>
      </x:c>
      <x:c r="F1" s="183" t="str">
        <x:v>CHECKPOINT C1 • EXECUTABLE FIXTURE COVERAGE</x:v>
      </x:c>
      <x:c r="G1" s="183" t="str">
        <x:v>CHECKPOINT C1 • EXECUTABLE FIXTURE COVERAGE</x:v>
      </x:c>
      <x:c r="H1" s="183" t="str">
        <x:v>CHECKPOINT C1 • EXECUTABLE FIXTURE COVERAGE</x:v>
      </x:c>
    </x:row>
    <x:row r="2">
      <x:c r="A2" s="187" t="str">
        <x:v>24/24 gates passed • positive fixtures must validate; deliberate negative fixtures must fail</x:v>
      </x:c>
      <x:c r="B2" s="187" t="str">
        <x:v>24/24 gates passed • positive fixtures must validate; deliberate negative fixtures must fail</x:v>
      </x:c>
      <x:c r="C2" s="187" t="str">
        <x:v>24/24 gates passed • positive fixtures must validate; deliberate negative fixtures must fail</x:v>
      </x:c>
      <x:c r="D2" s="187" t="str">
        <x:v>24/24 gates passed • positive fixtures must validate; deliberate negative fixtures must fail</x:v>
      </x:c>
      <x:c r="E2" s="187" t="str">
        <x:v>24/24 gates passed • positive fixtures must validate; deliberate negative fixtures must fail</x:v>
      </x:c>
      <x:c r="F2" s="187" t="str">
        <x:v>24/24 gates passed • positive fixtures must validate; deliberate negative fixtures must fail</x:v>
      </x:c>
      <x:c r="G2" s="187" t="str">
        <x:v>24/24 gates passed • positive fixtures must validate; deliberate negative fixtures must fail</x:v>
      </x:c>
      <x:c r="H2" s="187" t="str">
        <x:v>24/24 gates passed • positive fixtures must validate; deliberate negative fixtures must fail</x:v>
      </x:c>
    </x:row>
    <x:row r="4">
      <x:c r="A4" s="227" t="str">
        <x:v>Fixture</x:v>
      </x:c>
      <x:c r="B4" s="228" t="str">
        <x:v>Expected</x:v>
      </x:c>
      <x:c r="C4" s="228" t="str">
        <x:v>Schema / Definition</x:v>
      </x:c>
      <x:c r="D4" s="228" t="str">
        <x:v>Coverage</x:v>
      </x:c>
      <x:c r="E4" s="228" t="str">
        <x:v>Result</x:v>
      </x:c>
      <x:c r="F4" s="228" t="str">
        <x:v>Outcome / Safety Branch</x:v>
      </x:c>
      <x:c r="G4" s="228" t="str">
        <x:v>Canonical / Knowledge Assertion</x:v>
      </x:c>
      <x:c r="H4" s="229" t="str">
        <x:v>Validation Evidence</x:v>
      </x:c>
    </x:row>
    <x:row r="5" ht="58" customHeight="1">
      <x:c r="A5" s="177" t="str">
        <x:v>positive/world-strip-current.json</x:v>
      </x:c>
      <x:c r="B5" s="177" t="str">
        <x:v>VALID</x:v>
      </x:c>
      <x:c r="C5" s="177" t="str">
        <x:v>read-models/core-loop.schema.json #/$defs/WorldStripStatus</x:v>
      </x:c>
      <x:c r="D5" s="177" t="str">
        <x:v>FND-001, TIM-001, SCN-01, CMP-01</x:v>
      </x:c>
      <x:c r="E5" s="239" t="str">
        <x:v>PASS</x:v>
      </x:c>
      <x:c r="F5" s="177" t="str">
        <x:v>Core loop / projection</x:v>
      </x:c>
      <x:c r="G5" s="177" t="str">
        <x:v>Payload validates against the authority, knowledge, version and recovery contract for its branch.</x:v>
      </x:c>
      <x:c r="H5" s="177" t="str">
        <x:v>Validated with no forbidden public keys</x:v>
      </x:c>
    </x:row>
    <x:row r="6" ht="58" customHeight="1">
      <x:c r="A6" s="178" t="str">
        <x:v>positive/stage-frame-current.json</x:v>
      </x:c>
      <x:c r="B6" s="178" t="str">
        <x:v>VALID</x:v>
      </x:c>
      <x:c r="C6" s="178" t="str">
        <x:v>read-models/core-loop.schema.json #/$defs/StageFrame</x:v>
      </x:c>
      <x:c r="D6" s="178" t="str">
        <x:v>FND-001, TIM-002, SCN-01, CMP-03</x:v>
      </x:c>
      <x:c r="E6" s="240" t="str">
        <x:v>PASS</x:v>
      </x:c>
      <x:c r="F6" s="178" t="str">
        <x:v>Core loop / projection</x:v>
      </x:c>
      <x:c r="G6" s="178" t="str">
        <x:v>Stage contains only projected facts and accessible provenance.</x:v>
      </x:c>
      <x:c r="H6" s="178" t="str">
        <x:v>Validated with no forbidden public keys</x:v>
      </x:c>
    </x:row>
    <x:row r="7" ht="58" customHeight="1">
      <x:c r="A7" s="179" t="str">
        <x:v>positive/context-lens-disputed.json</x:v>
      </x:c>
      <x:c r="B7" s="179" t="str">
        <x:v>VALID</x:v>
      </x:c>
      <x:c r="C7" s="179" t="str">
        <x:v>read-models/core-loop.schema.json #/$defs/EntityContextLens</x:v>
      </x:c>
      <x:c r="D7" s="179" t="str">
        <x:v>KNO-001, SCN-09, SCN-10, CMP-04</x:v>
      </x:c>
      <x:c r="E7" s="240" t="str">
        <x:v>PASS</x:v>
      </x:c>
      <x:c r="F7" s="179" t="str">
        <x:v>Core loop / projection</x:v>
      </x:c>
      <x:c r="G7" s="179" t="str">
        <x:v>Payload validates against the authority, knowledge, version and recovery contract for its branch.</x:v>
      </x:c>
      <x:c r="H7" s="179" t="str">
        <x:v>Validated with no forbidden public keys</x:v>
      </x:c>
    </x:row>
    <x:row r="8" ht="58" customHeight="1">
      <x:c r="A8" s="178" t="str">
        <x:v>positive/intent-capability.json</x:v>
      </x:c>
      <x:c r="B8" s="178" t="str">
        <x:v>VALID</x:v>
      </x:c>
      <x:c r="C8" s="178" t="str">
        <x:v>read-models/core-loop.schema.json #/$defs/IntentCapability</x:v>
      </x:c>
      <x:c r="D8" s="178" t="str">
        <x:v>FND-001, FND-002, SCN-01, CMP-05</x:v>
      </x:c>
      <x:c r="E8" s="240" t="str">
        <x:v>PASS</x:v>
      </x:c>
      <x:c r="F8" s="178" t="str">
        <x:v>Core loop / projection</x:v>
      </x:c>
      <x:c r="G8" s="178" t="str">
        <x:v>Payload validates against the authority, knowledge, version and recovery contract for its branch.</x:v>
      </x:c>
      <x:c r="H8" s="178" t="str">
        <x:v>Validated with no forbidden public keys</x:v>
      </x:c>
    </x:row>
    <x:row r="9" ht="58" customHeight="1">
      <x:c r="A9" s="179" t="str">
        <x:v>positive/interpret-intent-command.json</x:v>
      </x:c>
      <x:c r="B9" s="179" t="str">
        <x:v>VALID</x:v>
      </x:c>
      <x:c r="C9" s="179" t="str">
        <x:v>commands/core-loop.schema.json #/$defs/InterpretIntentCommand</x:v>
      </x:c>
      <x:c r="D9" s="179" t="str">
        <x:v>FND-003, SCN-04, CMP-13</x:v>
      </x:c>
      <x:c r="E9" s="240" t="str">
        <x:v>PASS</x:v>
      </x:c>
      <x:c r="F9" s="179" t="str">
        <x:v>Core loop / projection</x:v>
      </x:c>
      <x:c r="G9" s="179" t="str">
        <x:v>Payload validates against the authority, knowledge, version and recovery contract for its branch.</x:v>
      </x:c>
      <x:c r="H9" s="179" t="str">
        <x:v>Validated with no forbidden public keys</x:v>
      </x:c>
    </x:row>
    <x:row r="10" ht="58" customHeight="1">
      <x:c r="A10" s="178" t="str">
        <x:v>positive/interpreted-proposal.json</x:v>
      </x:c>
      <x:c r="B10" s="178" t="str">
        <x:v>VALID</x:v>
      </x:c>
      <x:c r="C10" s="178" t="str">
        <x:v>read-models/core-loop.schema.json #/$defs/InterpretedProposal</x:v>
      </x:c>
      <x:c r="D10" s="178" t="str">
        <x:v>FND-003, SCN-04, CMP-13</x:v>
      </x:c>
      <x:c r="E10" s="240" t="str">
        <x:v>PASS</x:v>
      </x:c>
      <x:c r="F10" s="178" t="str">
        <x:v>Core loop / projection</x:v>
      </x:c>
      <x:c r="G10" s="178" t="str">
        <x:v>Payload validates against the authority, knowledge, version and recovery contract for its branch.</x:v>
      </x:c>
      <x:c r="H10" s="178" t="str">
        <x:v>Validated with no forbidden public keys</x:v>
      </x:c>
    </x:row>
    <x:row r="11" ht="58" customHeight="1">
      <x:c r="A11" s="179" t="str">
        <x:v>positive/proposal-forecast.json</x:v>
      </x:c>
      <x:c r="B11" s="179" t="str">
        <x:v>VALID</x:v>
      </x:c>
      <x:c r="C11" s="179" t="str">
        <x:v>read-models/core-loop.schema.json #/$defs/ProposalForecast</x:v>
      </x:c>
      <x:c r="D11" s="179" t="str">
        <x:v>FND-003, SCN-04, CMP-14</x:v>
      </x:c>
      <x:c r="E11" s="240" t="str">
        <x:v>PASS</x:v>
      </x:c>
      <x:c r="F11" s="179" t="str">
        <x:v>Core loop / projection</x:v>
      </x:c>
      <x:c r="G11" s="179" t="str">
        <x:v>Forecast is explicitly noncanonical and assumption-bound.</x:v>
      </x:c>
      <x:c r="H11" s="179" t="str">
        <x:v>Validated with no forbidden public keys</x:v>
      </x:c>
    </x:row>
    <x:row r="12" ht="58" customHeight="1">
      <x:c r="A12" s="178" t="str">
        <x:v>positive/commit-action-command.json</x:v>
      </x:c>
      <x:c r="B12" s="178" t="str">
        <x:v>VALID</x:v>
      </x:c>
      <x:c r="C12" s="178" t="str">
        <x:v>commands/core-loop.schema.json #/$defs/CommitActionCommand</x:v>
      </x:c>
      <x:c r="D12" s="178" t="str">
        <x:v>TIM-005, SCN-04, CMP-15</x:v>
      </x:c>
      <x:c r="E12" s="240" t="str">
        <x:v>PASS</x:v>
      </x:c>
      <x:c r="F12" s="178" t="str">
        <x:v>Core loop / projection</x:v>
      </x:c>
      <x:c r="G12" s="178" t="str">
        <x:v>Payload validates against the authority, knowledge, version and recovery contract for its branch.</x:v>
      </x:c>
      <x:c r="H12" s="178" t="str">
        <x:v>Validated with no forbidden public keys</x:v>
      </x:c>
    </x:row>
    <x:row r="13" ht="58" customHeight="1">
      <x:c r="A13" s="179" t="str">
        <x:v>positive/committed-receipt.json</x:v>
      </x:c>
      <x:c r="B13" s="179" t="str">
        <x:v>VALID</x:v>
      </x:c>
      <x:c r="C13" s="179" t="str">
        <x:v>commands/core-loop.schema.json #/$defs/CommandReceipt</x:v>
      </x:c>
      <x:c r="D13" s="179" t="str">
        <x:v>TIM-005, SCN-04, CMP-17</x:v>
      </x:c>
      <x:c r="E13" s="240" t="str">
        <x:v>PASS</x:v>
      </x:c>
      <x:c r="F13" s="179" t="str">
        <x:v>Success baseline</x:v>
      </x:c>
      <x:c r="G13" s="179" t="str">
        <x:v>Payload validates against the authority, knowledge, version and recovery contract for its branch.</x:v>
      </x:c>
      <x:c r="H13" s="179" t="str">
        <x:v>Validated with no forbidden public keys</x:v>
      </x:c>
    </x:row>
    <x:row r="14" ht="58" customHeight="1">
      <x:c r="A14" s="178" t="str">
        <x:v>positive/mixed-failure-receipt.json</x:v>
      </x:c>
      <x:c r="B14" s="178" t="str">
        <x:v>VALID</x:v>
      </x:c>
      <x:c r="C14" s="178" t="str">
        <x:v>commands/core-loop.schema.json #/$defs/CommandReceipt</x:v>
      </x:c>
      <x:c r="D14" s="178" t="str">
        <x:v>FND-007, SCN-04, CMP-17</x:v>
      </x:c>
      <x:c r="E14" s="240" t="str">
        <x:v>PASS</x:v>
      </x:c>
      <x:c r="F14" s="178" t="str">
        <x:v>Mixed / failure</x:v>
      </x:c>
      <x:c r="G14" s="178" t="str">
        <x:v>Payload validates against the authority, knowledge, version and recovery contract for its branch.</x:v>
      </x:c>
      <x:c r="H14" s="178" t="str">
        <x:v>Validated with no forbidden public keys</x:v>
      </x:c>
    </x:row>
    <x:row r="15" ht="58" customHeight="1">
      <x:c r="A15" s="179" t="str">
        <x:v>positive/rejected-impossible-receipt.json</x:v>
      </x:c>
      <x:c r="B15" s="179" t="str">
        <x:v>VALID</x:v>
      </x:c>
      <x:c r="C15" s="179" t="str">
        <x:v>commands/core-loop.schema.json #/$defs/CommandReceipt</x:v>
      </x:c>
      <x:c r="D15" s="179" t="str">
        <x:v>FND-004, GAP-001, SCN-05</x:v>
      </x:c>
      <x:c r="E15" s="240" t="str">
        <x:v>PASS</x:v>
      </x:c>
      <x:c r="F15" s="179" t="str">
        <x:v>Impossible / invalid</x:v>
      </x:c>
      <x:c r="G15" s="179" t="str">
        <x:v>Payload validates against the authority, knowledge, version and recovery contract for its branch.</x:v>
      </x:c>
      <x:c r="H15" s="179" t="str">
        <x:v>Validated with no forbidden public keys</x:v>
      </x:c>
    </x:row>
    <x:row r="16" ht="58" customHeight="1">
      <x:c r="A16" s="178" t="str">
        <x:v>positive/refused-actor-receipt.json</x:v>
      </x:c>
      <x:c r="B16" s="178" t="str">
        <x:v>VALID</x:v>
      </x:c>
      <x:c r="C16" s="178" t="str">
        <x:v>commands/core-loop.schema.json #/$defs/CommandReceipt</x:v>
      </x:c>
      <x:c r="D16" s="178" t="str">
        <x:v>PTY-003, GAP-001, SCN-07, SCN-08</x:v>
      </x:c>
      <x:c r="E16" s="240" t="str">
        <x:v>PASS</x:v>
      </x:c>
      <x:c r="F16" s="178" t="str">
        <x:v>Autonomous refusal</x:v>
      </x:c>
      <x:c r="G16" s="178" t="str">
        <x:v>Payload validates against the authority, knowledge, version and recovery contract for its branch.</x:v>
      </x:c>
      <x:c r="H16" s="178" t="str">
        <x:v>Validated with no forbidden public keys</x:v>
      </x:c>
    </x:row>
    <x:row r="17" ht="58" customHeight="1">
      <x:c r="A17" s="179" t="str">
        <x:v>positive/unavailable-access-receipt.json</x:v>
      </x:c>
      <x:c r="B17" s="179" t="str">
        <x:v>VALID</x:v>
      </x:c>
      <x:c r="C17" s="179" t="str">
        <x:v>commands/core-loop.schema.json #/$defs/CommandReceipt</x:v>
      </x:c>
      <x:c r="D17" s="179" t="str">
        <x:v>GAP-001, SCN-15</x:v>
      </x:c>
      <x:c r="E17" s="240" t="str">
        <x:v>PASS</x:v>
      </x:c>
      <x:c r="F17" s="179" t="str">
        <x:v>Unavailability</x:v>
      </x:c>
      <x:c r="G17" s="179" t="str">
        <x:v>Payload validates against the authority, knowledge, version and recovery contract for its branch.</x:v>
      </x:c>
      <x:c r="H17" s="179" t="str">
        <x:v>Validated with no forbidden public keys</x:v>
      </x:c>
    </x:row>
    <x:row r="18" ht="58" customHeight="1">
      <x:c r="A18" s="178" t="str">
        <x:v>positive/interrupted-window-receipt.json</x:v>
      </x:c>
      <x:c r="B18" s="178" t="str">
        <x:v>VALID</x:v>
      </x:c>
      <x:c r="C18" s="178" t="str">
        <x:v>commands/core-loop.schema.json #/$defs/CommandReceipt</x:v>
      </x:c>
      <x:c r="D18" s="178" t="str">
        <x:v>FND-007, SCN-06, CMP-17</x:v>
      </x:c>
      <x:c r="E18" s="240" t="str">
        <x:v>PASS</x:v>
      </x:c>
      <x:c r="F18" s="178" t="str">
        <x:v>Interruption</x:v>
      </x:c>
      <x:c r="G18" s="178" t="str">
        <x:v>Payload validates against the authority, knowledge, version and recovery contract for its branch.</x:v>
      </x:c>
      <x:c r="H18" s="178" t="str">
        <x:v>Validated with no forbidden public keys</x:v>
      </x:c>
    </x:row>
    <x:row r="19" ht="58" customHeight="1">
      <x:c r="A19" s="179" t="str">
        <x:v>positive/destructive-consequence-receipt.json</x:v>
      </x:c>
      <x:c r="B19" s="179" t="str">
        <x:v>VALID</x:v>
      </x:c>
      <x:c r="C19" s="179" t="str">
        <x:v>commands/core-loop.schema.json #/$defs/CommandReceipt</x:v>
      </x:c>
      <x:c r="D19" s="179" t="str">
        <x:v>BRK-006, SCN-11, CMP-17</x:v>
      </x:c>
      <x:c r="E19" s="240" t="str">
        <x:v>PASS</x:v>
      </x:c>
      <x:c r="F19" s="179" t="str">
        <x:v>Destructive consequence</x:v>
      </x:c>
      <x:c r="G19" s="179" t="str">
        <x:v>Payload validates against the authority, knowledge, version and recovery contract for its branch.</x:v>
      </x:c>
      <x:c r="H19" s="179" t="str">
        <x:v>Validated with no forbidden public keys</x:v>
      </x:c>
    </x:row>
    <x:row r="20" ht="58" customHeight="1">
      <x:c r="A20" s="178" t="str">
        <x:v>positive/replan-state-changed-receipt.json</x:v>
      </x:c>
      <x:c r="B20" s="178" t="str">
        <x:v>VALID</x:v>
      </x:c>
      <x:c r="C20" s="178" t="str">
        <x:v>commands/core-loop.schema.json #/$defs/CommandReceipt</x:v>
      </x:c>
      <x:c r="D20" s="178" t="str">
        <x:v>TIM-006, GAP-006, CMP-08</x:v>
      </x:c>
      <x:c r="E20" s="240" t="str">
        <x:v>PASS</x:v>
      </x:c>
      <x:c r="F20" s="178" t="str">
        <x:v>Replan</x:v>
      </x:c>
      <x:c r="G20" s="178" t="str">
        <x:v>Payload validates against the authority, knowledge, version and recovery contract for its branch.</x:v>
      </x:c>
      <x:c r="H20" s="178" t="str">
        <x:v>Validated with no forbidden public keys</x:v>
      </x:c>
    </x:row>
    <x:row r="21" ht="58" customHeight="1">
      <x:c r="A21" s="179" t="str">
        <x:v>positive/stale-conflict-receipt.json</x:v>
      </x:c>
      <x:c r="B21" s="179" t="str">
        <x:v>VALID</x:v>
      </x:c>
      <x:c r="C21" s="179" t="str">
        <x:v>commands/core-loop.schema.json #/$defs/CommandReceipt</x:v>
      </x:c>
      <x:c r="D21" s="179" t="str">
        <x:v>TIM-006, GAP-006, SCN-17</x:v>
      </x:c>
      <x:c r="E21" s="240" t="str">
        <x:v>PASS</x:v>
      </x:c>
      <x:c r="F21" s="179" t="str">
        <x:v>Conflict / stale state</x:v>
      </x:c>
      <x:c r="G21" s="179" t="str">
        <x:v>Payload validates against the authority, knowledge, version and recovery contract for its branch.</x:v>
      </x:c>
      <x:c r="H21" s="179" t="str">
        <x:v>Validated with no forbidden public keys</x:v>
      </x:c>
    </x:row>
    <x:row r="22" ht="58" customHeight="1">
      <x:c r="A22" s="178" t="str">
        <x:v>positive/unknown-commit-receipt.json</x:v>
      </x:c>
      <x:c r="B22" s="178" t="str">
        <x:v>VALID</x:v>
      </x:c>
      <x:c r="C22" s="178" t="str">
        <x:v>commands/core-loop.schema.json #/$defs/CommandReceipt</x:v>
      </x:c>
      <x:c r="D22" s="178" t="str">
        <x:v>TIM-005, GAP-014, CMP-08</x:v>
      </x:c>
      <x:c r="E22" s="240" t="str">
        <x:v>PASS</x:v>
      </x:c>
      <x:c r="F22" s="178" t="str">
        <x:v>Unknown commit recovery</x:v>
      </x:c>
      <x:c r="G22" s="178" t="str">
        <x:v>Retry is prohibited until the original command status is looked up.</x:v>
      </x:c>
      <x:c r="H22" s="178" t="str">
        <x:v>Validated with no forbidden public keys</x:v>
      </x:c>
    </x:row>
    <x:row r="23" ht="58" customHeight="1">
      <x:c r="A23" s="179" t="str">
        <x:v>positive/resolve-status-command.json</x:v>
      </x:c>
      <x:c r="B23" s="179" t="str">
        <x:v>VALID</x:v>
      </x:c>
      <x:c r="C23" s="179" t="str">
        <x:v>commands/core-loop.schema.json #/$defs/ResolveCommitStatusCommand</x:v>
      </x:c>
      <x:c r="D23" s="179" t="str">
        <x:v>TIM-005, GAP-014, CMP-17</x:v>
      </x:c>
      <x:c r="E23" s="240" t="str">
        <x:v>PASS</x:v>
      </x:c>
      <x:c r="F23" s="179" t="str">
        <x:v>Core loop / projection</x:v>
      </x:c>
      <x:c r="G23" s="179" t="str">
        <x:v>Payload validates against the authority, knowledge, version and recovery contract for its branch.</x:v>
      </x:c>
      <x:c r="H23" s="179" t="str">
        <x:v>Validated with no forbidden public keys</x:v>
      </x:c>
    </x:row>
    <x:row r="24" ht="58" customHeight="1">
      <x:c r="A24" s="178" t="str">
        <x:v>positive/resolution-beat-mixed.json</x:v>
      </x:c>
      <x:c r="B24" s="178" t="str">
        <x:v>VALID</x:v>
      </x:c>
      <x:c r="C24" s="178" t="str">
        <x:v>read-models/core-loop.schema.json #/$defs/ResolutionBeat</x:v>
      </x:c>
      <x:c r="D24" s="178" t="str">
        <x:v>FND-007, SCN-04, CMP-16</x:v>
      </x:c>
      <x:c r="E24" s="240" t="str">
        <x:v>PASS</x:v>
      </x:c>
      <x:c r="F24" s="178" t="str">
        <x:v>Mixed / failure</x:v>
      </x:c>
      <x:c r="G24" s="178" t="str">
        <x:v>Payload validates against the authority, knowledge, version and recovery contract for its branch.</x:v>
      </x:c>
      <x:c r="H24" s="178" t="str">
        <x:v>Validated with no forbidden public keys</x:v>
      </x:c>
    </x:row>
    <x:row r="25" ht="58" customHeight="1">
      <x:c r="A25" s="179" t="str">
        <x:v>positive/recovery-required-event.json</x:v>
      </x:c>
      <x:c r="B25" s="179" t="str">
        <x:v>VALID</x:v>
      </x:c>
      <x:c r="C25" s="179" t="str">
        <x:v>events/core-loop.schema.json #/$defs/RecoveryRequired</x:v>
      </x:c>
      <x:c r="D25" s="179" t="str">
        <x:v>TIM-005, GAP-014, CMP-38</x:v>
      </x:c>
      <x:c r="E25" s="240" t="str">
        <x:v>PASS</x:v>
      </x:c>
      <x:c r="F25" s="179" t="str">
        <x:v>Core loop / projection</x:v>
      </x:c>
      <x:c r="G25" s="179" t="str">
        <x:v>Payload validates against the authority, knowledge, version and recovery contract for its branch.</x:v>
      </x:c>
      <x:c r="H25" s="179" t="str">
        <x:v>Validated with no forbidden public keys</x:v>
      </x:c>
    </x:row>
    <x:row r="26" ht="58" customHeight="1">
      <x:c r="A26" s="178" t="str">
        <x:v>negative/stage-hidden-truth.json</x:v>
      </x:c>
      <x:c r="B26" s="178" t="str">
        <x:v>INVALID</x:v>
      </x:c>
      <x:c r="C26" s="178" t="str">
        <x:v>read-models/core-loop.schema.json #/$defs/StageFrame</x:v>
      </x:c>
      <x:c r="D26" s="178" t="str">
        <x:v>KNO-001, SCN-09, SCN-10</x:v>
      </x:c>
      <x:c r="E26" s="240" t="str">
        <x:v>PASS</x:v>
      </x:c>
      <x:c r="F26" s="178" t="str">
        <x:v>Knowledge leakage gate</x:v>
      </x:c>
      <x:c r="G26" s="178" t="str">
        <x:v>Schema rejects canonical coordinates before UI serialization.</x:v>
      </x:c>
      <x:c r="H26" s="178" t="str">
        <x:v>Rejected as designed</x:v>
      </x:c>
    </x:row>
    <x:row r="27" ht="58" customHeight="1">
      <x:c r="A27" s="179" t="str">
        <x:v>negative/commit-without-idempotency.json</x:v>
      </x:c>
      <x:c r="B27" s="179" t="str">
        <x:v>INVALID</x:v>
      </x:c>
      <x:c r="C27" s="179" t="str">
        <x:v>commands/core-loop.schema.json #/$defs/CommitActionCommand</x:v>
      </x:c>
      <x:c r="D27" s="179" t="str">
        <x:v>TIM-005, GAP-014</x:v>
      </x:c>
      <x:c r="E27" s="240" t="str">
        <x:v>PASS</x:v>
      </x:c>
      <x:c r="F27" s="179" t="str">
        <x:v>Idempotency gate</x:v>
      </x:c>
      <x:c r="G27" s="179" t="str">
        <x:v>Canonical commit cannot validate without an idempotency key.</x:v>
      </x:c>
      <x:c r="H27" s="179" t="str">
        <x:v>Rejected as designed</x:v>
      </x:c>
    </x:row>
    <x:row r="28" ht="58" customHeight="1">
      <x:c r="A28" s="180" t="str">
        <x:v>negative/rejection-with-diagnostic.json</x:v>
      </x:c>
      <x:c r="B28" s="180" t="str">
        <x:v>INVALID</x:v>
      </x:c>
      <x:c r="C28" s="180" t="str">
        <x:v>commands/core-loop.schema.json #/$defs/CommandReceipt</x:v>
      </x:c>
      <x:c r="D28" s="180" t="str">
        <x:v>GAP-001, SCN-05</x:v>
      </x:c>
      <x:c r="E28" s="241" t="str">
        <x:v>PASS</x:v>
      </x:c>
      <x:c r="F28" s="180" t="str">
        <x:v>Private diagnostic gate</x:v>
      </x:c>
      <x:c r="G28" s="180" t="str">
        <x:v>Private validator diagnostics cannot enter the public rejection payload.</x:v>
      </x:c>
      <x:c r="H28" s="180" t="str">
        <x:v>Rejected as designed</x:v>
      </x:c>
    </x:row>
  </x:sheetData>
  <x:mergeCells>
    <x:mergeCell ref="A1:H1"/>
    <x:mergeCell ref="A2:H2"/>
  </x:mergeCells>
  <x:conditionalFormatting sqref="B5:B28">
    <x:cfRule type="containsText" dxfId="9" priority="1" operator="containsText" text="INVALID"/>
  </x:conditionalFormatting>
  <x:pageMargins left="0.7" right="0.7" top="0.75" bottom="0.75" header="0.3" footer="0.3"/>
  <x:tableParts count="1">
    <x:tablePart xmlns:r="http://schemas.openxmlformats.org/officeDocument/2006/relationships" r:id="R427625854fc74d2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54" hidden="0" customWidth="1"/>
    <x:col min="4" max="4" width="22" hidden="0" customWidth="1"/>
    <x:col min="5" max="5" width="33" hidden="0" customWidth="1"/>
    <x:col min="6" max="6" width="43" hidden="0" customWidth="1"/>
    <x:col min="7" max="7" width="34" hidden="0" customWidth="1"/>
    <x:col min="8" max="8" width="13" hidden="0" customWidth="1"/>
  </x:cols>
  <x:sheetData>
    <x:row r="1">
      <x:c r="A1" s="183" t="str">
        <x:v>CHECKPOINT C1 • PUBLIC OUTCOME + RECEIPT TAXONOMY</x:v>
      </x:c>
      <x:c r="B1" s="183" t="str">
        <x:v>CHECKPOINT C1 • PUBLIC OUTCOME + RECEIPT TAXONOMY</x:v>
      </x:c>
      <x:c r="C1" s="183" t="str">
        <x:v>CHECKPOINT C1 • PUBLIC OUTCOME + RECEIPT TAXONOMY</x:v>
      </x:c>
      <x:c r="D1" s="183" t="str">
        <x:v>CHECKPOINT C1 • PUBLIC OUTCOME + RECEIPT TAXONOMY</x:v>
      </x:c>
      <x:c r="E1" s="183" t="str">
        <x:v>CHECKPOINT C1 • PUBLIC OUTCOME + RECEIPT TAXONOMY</x:v>
      </x:c>
      <x:c r="F1" s="183" t="str">
        <x:v>CHECKPOINT C1 • PUBLIC OUTCOME + RECEIPT TAXONOMY</x:v>
      </x:c>
      <x:c r="G1" s="183" t="str">
        <x:v>CHECKPOINT C1 • PUBLIC OUTCOME + RECEIPT TAXONOMY</x:v>
      </x:c>
      <x:c r="H1" s="183" t="str">
        <x:v>CHECKPOINT C1 • PUBLIC OUTCOME + RECEIPT TAXONOMY</x:v>
      </x:c>
    </x:row>
    <x:row r="2">
      <x:c r="A2" s="187" t="str">
        <x:v>Outcome meaning is never collapsed into generic failure text • receipt status and canonical effect remain separate</x:v>
      </x:c>
      <x:c r="B2" s="187" t="str">
        <x:v>Outcome meaning is never collapsed into generic failure text • receipt status and canonical effect remain separate</x:v>
      </x:c>
      <x:c r="C2" s="187" t="str">
        <x:v>Outcome meaning is never collapsed into generic failure text • receipt status and canonical effect remain separate</x:v>
      </x:c>
      <x:c r="D2" s="187" t="str">
        <x:v>Outcome meaning is never collapsed into generic failure text • receipt status and canonical effect remain separate</x:v>
      </x:c>
      <x:c r="E2" s="187" t="str">
        <x:v>Outcome meaning is never collapsed into generic failure text • receipt status and canonical effect remain separate</x:v>
      </x:c>
      <x:c r="F2" s="187" t="str">
        <x:v>Outcome meaning is never collapsed into generic failure text • receipt status and canonical effect remain separate</x:v>
      </x:c>
      <x:c r="G2" s="187" t="str">
        <x:v>Outcome meaning is never collapsed into generic failure text • receipt status and canonical effect remain separate</x:v>
      </x:c>
      <x:c r="H2" s="187" t="str">
        <x:v>Outcome meaning is never collapsed into generic failure text • receipt status and canonical effect remain separate</x:v>
      </x:c>
    </x:row>
    <x:row r="4">
      <x:c r="A4" s="227" t="str">
        <x:v>Outcome Family</x:v>
      </x:c>
      <x:c r="B4" s="228" t="str">
        <x:v>Public Code</x:v>
      </x:c>
      <x:c r="C4" s="228" t="str">
        <x:v>Meaning</x:v>
      </x:c>
      <x:c r="D4" s="228" t="str">
        <x:v>Typical Receipt Status</x:v>
      </x:c>
      <x:c r="E4" s="228" t="str">
        <x:v>Canonical Effect</x:v>
      </x:c>
      <x:c r="F4" s="228" t="str">
        <x:v>Player-Safe Recovery</x:v>
      </x:c>
      <x:c r="G4" s="228" t="str">
        <x:v>Required Fixture</x:v>
      </x:c>
      <x:c r="H4" s="229" t="str">
        <x:v>Status</x:v>
      </x:c>
    </x:row>
    <x:row r="5" ht="60" customHeight="1">
      <x:c r="A5" s="177" t="str">
        <x:v>Success</x:v>
      </x:c>
      <x:c r="B5" s="177" t="str">
        <x:v>success.committed</x:v>
      </x:c>
      <x:c r="C5" s="177" t="str">
        <x:v>The accepted method resolves without a material adverse branch.</x:v>
      </x:c>
      <x:c r="D5" s="177" t="str">
        <x:v>committed</x:v>
      </x:c>
      <x:c r="E5" s="177" t="str">
        <x:v>Committed event lineage returned</x:v>
      </x:c>
      <x:c r="F5" s="177" t="str">
        <x:v>Continue from the new state</x:v>
      </x:c>
      <x:c r="G5" s="177" t="str">
        <x:v>committed-receipt</x:v>
      </x:c>
      <x:c r="H5" s="239" t="str">
        <x:v>Mapped</x:v>
      </x:c>
    </x:row>
    <x:row r="6" ht="60" customHeight="1">
      <x:c r="A6" s="178" t="str">
        <x:v>Mixed / failure</x:v>
      </x:c>
      <x:c r="B6" s="178" t="str">
        <x:v>mixed.failure</x:v>
      </x:c>
      <x:c r="C6" s="178" t="str">
        <x:v>The attempt resolves with failure, cost or complication while play continues.</x:v>
      </x:c>
      <x:c r="D6" s="178" t="str">
        <x:v>committed</x:v>
      </x:c>
      <x:c r="E6" s="178" t="str">
        <x:v>Committed consequences returned</x:v>
      </x:c>
      <x:c r="F6" s="178" t="str">
        <x:v>Continue, recover or respond</x:v>
      </x:c>
      <x:c r="G6" s="178" t="str">
        <x:v>mixed-failure-receipt</x:v>
      </x:c>
      <x:c r="H6" s="240" t="str">
        <x:v>Mapped</x:v>
      </x:c>
    </x:row>
    <x:row r="7" ht="60" customHeight="1">
      <x:c r="A7" s="179" t="str">
        <x:v>Causal rejection</x:v>
      </x:c>
      <x:c r="B7" s="179" t="str">
        <x:v>rejected.causal_impossible</x:v>
      </x:c>
      <x:c r="C7" s="179" t="str">
        <x:v>The method cannot work from accessible state.</x:v>
      </x:c>
      <x:c r="D7" s="179" t="str">
        <x:v>rejected</x:v>
      </x:c>
      <x:c r="E7" s="179" t="str">
        <x:v>No rejected-action spend</x:v>
      </x:c>
      <x:c r="F7" s="179" t="str">
        <x:v>Preserve goal; revise method</x:v>
      </x:c>
      <x:c r="G7" s="179" t="str">
        <x:v>rejected-impossible-receipt</x:v>
      </x:c>
      <x:c r="H7" s="240" t="str">
        <x:v>Mapped</x:v>
      </x:c>
    </x:row>
    <x:row r="8" ht="60" customHeight="1">
      <x:c r="A8" s="178" t="str">
        <x:v>Rules rejection</x:v>
      </x:c>
      <x:c r="B8" s="178" t="str">
        <x:v>rejected.rule_invalid</x:v>
      </x:c>
      <x:c r="C8" s="178" t="str">
        <x:v>The requested procedure is not legal under the rules.</x:v>
      </x:c>
      <x:c r="D8" s="178" t="str">
        <x:v>rejected</x:v>
      </x:c>
      <x:c r="E8" s="178" t="str">
        <x:v>No rejected-action spend</x:v>
      </x:c>
      <x:c r="F8" s="178" t="str">
        <x:v>Show legal revision fields and rule reference</x:v>
      </x:c>
      <x:c r="G8" s="178" t="str">
        <x:v>rejection-with-diagnostic (negative)</x:v>
      </x:c>
      <x:c r="H8" s="240" t="str">
        <x:v>Mapped</x:v>
      </x:c>
    </x:row>
    <x:row r="9" ht="60" customHeight="1">
      <x:c r="A9" s="179" t="str">
        <x:v>Actor refusal</x:v>
      </x:c>
      <x:c r="B9" s="179" t="str">
        <x:v>refused.actor_boundary</x:v>
      </x:c>
      <x:c r="C9" s="179" t="str">
        <x:v>An autonomous person, Relic or institution declines.</x:v>
      </x:c>
      <x:c r="D9" s="179" t="str">
        <x:v>rejected</x:v>
      </x:c>
      <x:c r="E9" s="179" t="str">
        <x:v>No obedience override</x:v>
      </x:c>
      <x:c r="F9" s="179" t="str">
        <x:v>Show spoken/observable boundary and counterproposal</x:v>
      </x:c>
      <x:c r="G9" s="179" t="str">
        <x:v>refused-actor-receipt</x:v>
      </x:c>
      <x:c r="H9" s="240" t="str">
        <x:v>Mapped</x:v>
      </x:c>
    </x:row>
    <x:row r="10" ht="60" customHeight="1">
      <x:c r="A10" s="178" t="str">
        <x:v>Interruption</x:v>
      </x:c>
      <x:c r="B10" s="178" t="str">
        <x:v>interrupted.window</x:v>
      </x:c>
      <x:c r="C10" s="178" t="str">
        <x:v>A causal event interrupts an already committed attempt or timing window.</x:v>
      </x:c>
      <x:c r="D10" s="178" t="str">
        <x:v>committed</x:v>
      </x:c>
      <x:c r="E10" s="178" t="str">
        <x:v>Committed interruption/consequence events</x:v>
      </x:c>
      <x:c r="F10" s="178" t="str">
        <x:v>Respond from the new state</x:v>
      </x:c>
      <x:c r="G10" s="178" t="str">
        <x:v>interrupted-window-receipt</x:v>
      </x:c>
      <x:c r="H10" s="240" t="str">
        <x:v>Mapped</x:v>
      </x:c>
    </x:row>
    <x:row r="11" ht="60" customHeight="1">
      <x:c r="A11" s="179" t="str">
        <x:v>Access unavailable</x:v>
      </x:c>
      <x:c r="B11" s="179" t="str">
        <x:v>unavailable.access</x:v>
      </x:c>
      <x:c r="C11" s="179" t="str">
        <x:v>A required route, item, authority, service or actor is inaccessible.</x:v>
      </x:c>
      <x:c r="D11" s="179" t="str">
        <x:v>rejected</x:v>
      </x:c>
      <x:c r="E11" s="179" t="str">
        <x:v>No rejected-action spend</x:v>
      </x:c>
      <x:c r="F11" s="179" t="str">
        <x:v>Use another accessible method or wait</x:v>
      </x:c>
      <x:c r="G11" s="179" t="str">
        <x:v>unavailable-access-receipt</x:v>
      </x:c>
      <x:c r="H11" s="240" t="str">
        <x:v>Mapped</x:v>
      </x:c>
    </x:row>
    <x:row r="12" ht="60" customHeight="1">
      <x:c r="A12" s="178" t="str">
        <x:v>Timing unavailable</x:v>
      </x:c>
      <x:c r="B12" s="178" t="str">
        <x:v>unavailable.window_closed</x:v>
      </x:c>
      <x:c r="C12" s="178" t="str">
        <x:v>The legal timing window is absent or closed.</x:v>
      </x:c>
      <x:c r="D12" s="178" t="str">
        <x:v>rejected</x:v>
      </x:c>
      <x:c r="E12" s="178" t="str">
        <x:v>No rejected-action spend</x:v>
      </x:c>
      <x:c r="F12" s="178" t="str">
        <x:v>Wait for or create another legal window</x:v>
      </x:c>
      <x:c r="G12" s="178" t="str">
        <x:v>Schema branch</x:v>
      </x:c>
      <x:c r="H12" s="240" t="str">
        <x:v>Mapped</x:v>
      </x:c>
    </x:row>
    <x:row r="13" ht="60" customHeight="1">
      <x:c r="A13" s="179" t="str">
        <x:v>Provider unavailable</x:v>
      </x:c>
      <x:c r="B13" s="179" t="str">
        <x:v>unavailable.provider</x:v>
      </x:c>
      <x:c r="C13" s="179" t="str">
        <x:v>A noncanonical generation or dependency failed.</x:v>
      </x:c>
      <x:c r="D13" s="179" t="str">
        <x:v>retryable_failure</x:v>
      </x:c>
      <x:c r="E13" s="179" t="str">
        <x:v>Campaign canon unchanged</x:v>
      </x:c>
      <x:c r="F13" s="179" t="str">
        <x:v>Retry dependency or continue play</x:v>
      </x:c>
      <x:c r="G13" s="179" t="str">
        <x:v>Schema branch</x:v>
      </x:c>
      <x:c r="H13" s="240" t="str">
        <x:v>Mapped</x:v>
      </x:c>
    </x:row>
    <x:row r="14" ht="60" customHeight="1">
      <x:c r="A14" s="178" t="str">
        <x:v>Destructive consequence</x:v>
      </x:c>
      <x:c r="B14" s="178" t="str">
        <x:v>destructive.consequence</x:v>
      </x:c>
      <x:c r="C14" s="178" t="str">
        <x:v>The committed action durably destroys or changes part of the world.</x:v>
      </x:c>
      <x:c r="D14" s="178" t="str">
        <x:v>committed</x:v>
      </x:c>
      <x:c r="E14" s="178" t="str">
        <x:v>Committed destructive events</x:v>
      </x:c>
      <x:c r="F14" s="178" t="str">
        <x:v>Continue from persistent changed state</x:v>
      </x:c>
      <x:c r="G14" s="178" t="str">
        <x:v>destructive-consequence-receipt</x:v>
      </x:c>
      <x:c r="H14" s="240" t="str">
        <x:v>Mapped</x:v>
      </x:c>
    </x:row>
    <x:row r="15" ht="60" customHeight="1">
      <x:c r="A15" s="179" t="str">
        <x:v>Replan</x:v>
      </x:c>
      <x:c r="B15" s="179" t="str">
        <x:v>replan.state_changed</x:v>
      </x:c>
      <x:c r="C15" s="179" t="str">
        <x:v>Accessible state changed enough to invalidate the reviewed method.</x:v>
      </x:c>
      <x:c r="D15" s="179" t="str">
        <x:v>replan_required</x:v>
      </x:c>
      <x:c r="E15" s="179" t="str">
        <x:v>No duplicate action mutation</x:v>
      </x:c>
      <x:c r="F15" s="179" t="str">
        <x:v>Compare and revise or reconfirm</x:v>
      </x:c>
      <x:c r="G15" s="179" t="str">
        <x:v>replan-state-changed-receipt</x:v>
      </x:c>
      <x:c r="H15" s="240" t="str">
        <x:v>Mapped</x:v>
      </x:c>
    </x:row>
    <x:row r="16" ht="60" customHeight="1">
      <x:c r="A16" s="178" t="str">
        <x:v>Stale conflict</x:v>
      </x:c>
      <x:c r="B16" s="178" t="str">
        <x:v>conflict.state_version</x:v>
      </x:c>
      <x:c r="C16" s="178" t="str">
        <x:v>The reviewed version differs materially from current state.</x:v>
      </x:c>
      <x:c r="D16" s="178" t="str">
        <x:v>conflict</x:v>
      </x:c>
      <x:c r="E16" s="178" t="str">
        <x:v>No unsafe merge or duplicate mutation</x:v>
      </x:c>
      <x:c r="F16" s="178" t="str">
        <x:v>Review changed fields</x:v>
      </x:c>
      <x:c r="G16" s="178" t="str">
        <x:v>stale-conflict-receipt</x:v>
      </x:c>
      <x:c r="H16" s="240" t="str">
        <x:v>Mapped</x:v>
      </x:c>
    </x:row>
    <x:row r="17" ht="60" customHeight="1">
      <x:c r="A17" s="242" t="str">
        <x:v>Unknown commit</x:v>
      </x:c>
      <x:c r="B17" s="242" t="str">
        <x:v>recovery.unknown_commit</x:v>
      </x:c>
      <x:c r="C17" s="242" t="str">
        <x:v>The submission response was lost and commit status is not known.</x:v>
      </x:c>
      <x:c r="D17" s="242" t="str">
        <x:v>unknown_commit</x:v>
      </x:c>
      <x:c r="E17" s="242" t="str">
        <x:v>Unknown until durable lookup</x:v>
      </x:c>
      <x:c r="F17" s="242" t="str">
        <x:v>Lookup original command before retry</x:v>
      </x:c>
      <x:c r="G17" s="242" t="str">
        <x:v>unknown receipt + recovery event</x:v>
      </x:c>
      <x:c r="H17" s="241" t="str">
        <x:v>Mapped</x:v>
      </x:c>
    </x:row>
  </x:sheetData>
  <x:mergeCells>
    <x:mergeCell ref="A1:H1"/>
    <x:mergeCell ref="A2:H2"/>
  </x:mergeCells>
  <x:pageMargins left="0.7" right="0.7" top="0.75" bottom="0.75" header="0.3" footer="0.3"/>
  <x:tableParts count="1">
    <x:tablePart xmlns:r="http://schemas.openxmlformats.org/officeDocument/2006/relationships" r:id="Rdc246215ef8240a0"/>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22" hidden="0" customWidth="1"/>
    <x:col min="2" max="2" width="44" hidden="0" customWidth="1"/>
    <x:col min="3" max="3" width="4" hidden="0" customWidth="1"/>
    <x:col min="4" max="4" width="27" hidden="0" customWidth="1"/>
    <x:col min="5" max="5" width="14" hidden="0" customWidth="1"/>
    <x:col min="6" max="6" width="4" hidden="0" customWidth="1"/>
    <x:col min="7" max="7" width="25" hidden="0" customWidth="1"/>
    <x:col min="8" max="8" width="25" hidden="0" customWidth="1"/>
  </x:cols>
  <x:sheetData>
    <x:row r="1" ht="30" customHeight="1">
      <x:c r="A1" s="255" t="str">
        <x:v>MYTHIC SUPERHERO RPG • PHASE 6 CHECKPOINT C2</x:v>
      </x:c>
      <x:c r="B1" s="255" t="str">
        <x:v>MYTHIC SUPERHERO RPG • PHASE 6 CHECKPOINT C2</x:v>
      </x:c>
      <x:c r="C1" s="255" t="str">
        <x:v>MYTHIC SUPERHERO RPG • PHASE 6 CHECKPOINT C2</x:v>
      </x:c>
      <x:c r="D1" s="255" t="str">
        <x:v>MYTHIC SUPERHERO RPG • PHASE 6 CHECKPOINT C2</x:v>
      </x:c>
      <x:c r="E1" s="255" t="str">
        <x:v>MYTHIC SUPERHERO RPG • PHASE 6 CHECKPOINT C2</x:v>
      </x:c>
      <x:c r="F1" s="255" t="str">
        <x:v>MYTHIC SUPERHERO RPG • PHASE 6 CHECKPOINT C2</x:v>
      </x:c>
      <x:c r="G1" s="255" t="str">
        <x:v>MYTHIC SUPERHERO RPG • PHASE 6 CHECKPOINT C2</x:v>
      </x:c>
      <x:c r="H1" s="255" t="str">
        <x:v>MYTHIC SUPERHERO RPG • PHASE 6 CHECKPOINT C2</x:v>
      </x:c>
    </x:row>
    <x:row r="2" ht="36" customHeight="1">
      <x:c r="A2" s="259" t="str">
        <x:v>Approved system-breadth contracts • Character, Company, Holdings, World and Chronicle share one inspect → draft → preview → commit → resolve → persist grammar</x:v>
      </x:c>
      <x:c r="B2" s="259" t="str">
        <x:v>System-breadth contract candidate • Character, Company, Holdings, World and Chronicle share one inspect → draft → preview → commit → resolve → persist grammar</x:v>
      </x:c>
      <x:c r="C2" s="259" t="str">
        <x:v>System-breadth contract candidate • Character, Company, Holdings, World and Chronicle share one inspect → draft → preview → commit → resolve → persist grammar</x:v>
      </x:c>
      <x:c r="D2" s="259" t="str">
        <x:v>System-breadth contract candidate • Character, Company, Holdings, World and Chronicle share one inspect → draft → preview → commit → resolve → persist grammar</x:v>
      </x:c>
      <x:c r="E2" s="259" t="str">
        <x:v>System-breadth contract candidate • Character, Company, Holdings, World and Chronicle share one inspect → draft → preview → commit → resolve → persist grammar</x:v>
      </x:c>
      <x:c r="F2" s="259" t="str">
        <x:v>System-breadth contract candidate • Character, Company, Holdings, World and Chronicle share one inspect → draft → preview → commit → resolve → persist grammar</x:v>
      </x:c>
      <x:c r="G2" s="259" t="str">
        <x:v>System-breadth contract candidate • Character, Company, Holdings, World and Chronicle share one inspect → draft → preview → commit → resolve → persist grammar</x:v>
      </x:c>
      <x:c r="H2" s="259" t="str">
        <x:v>System-breadth contract candidate • Character, Company, Holdings, World and Chronicle share one inspect → draft → preview → commit → resolve → persist grammar</x:v>
      </x:c>
    </x:row>
    <x:row r="3" ht="24" customHeight="1"/>
    <x:row r="4" ht="44" customHeight="1">
      <x:c r="A4" s="262" t="str">
        <x:v>C1 dependency</x:v>
      </x:c>
      <x:c r="B4" s="265" t="str">
        <x:v>Approved and locked · 2026-08-23</x:v>
      </x:c>
      <x:c r="D4" s="268" t="str">
        <x:v>C2 ACCEPTANCE RESULT</x:v>
      </x:c>
      <x:c r="E4" s="268" t="str">
        <x:v>C2 ACCEPTANCE RESULT</x:v>
      </x:c>
      <x:c r="F4" s="268" t="str">
        <x:v>C2 ACCEPTANCE RESULT</x:v>
      </x:c>
      <x:c r="G4" s="268" t="str">
        <x:v>C2 ACCEPTANCE RESULT</x:v>
      </x:c>
      <x:c r="H4" s="268" t="str">
        <x:v>C2 ACCEPTANCE RESULT</x:v>
      </x:c>
    </x:row>
    <x:row r="5" ht="44" customHeight="1">
      <x:c r="A5" s="262" t="str">
        <x:v>C2 status</x:v>
      </x:c>
      <x:c r="B5" s="265" t="str">
        <x:v>Approved and locked · 2026-08-23</x:v>
      </x:c>
      <x:c r="D5" s="265" t="str">
        <x:v>Contract matrix rows</x:v>
      </x:c>
      <x:c r="E5" s="269" t="n">
        <x:f>COUNTA('C2 Contract Matrix'!A5:A100)</x:f>
        <x:v>29</x:v>
      </x:c>
      <x:c r="G5" s="271" t="str">
        <x:v>MACHINE-VERIFIED</x:v>
      </x:c>
      <x:c r="H5" s="271" t="str">
        <x:v>MACHINE-VERIFIED</x:v>
      </x:c>
    </x:row>
    <x:row r="6" ht="44" customHeight="1">
      <x:c r="A6" s="262" t="str">
        <x:v>Contract stack</x:v>
      </x:c>
      <x:c r="B6" s="265" t="str">
        <x:v>JSON Schema 2020-12 · OpenAPI 3.1.2 · AsyncAPI 3.1.0</x:v>
      </x:c>
      <x:c r="D6" s="265" t="str">
        <x:v>C2 schema documents</x:v>
      </x:c>
      <x:c r="E6" s="269" t="n">
        <x:v>7</x:v>
      </x:c>
      <x:c r="G6"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c r="H6"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row>
    <x:row r="7" ht="44" customHeight="1">
      <x:c r="A7" s="262" t="str">
        <x:v>System breadth</x:v>
      </x:c>
      <x:c r="B7" s="265" t="str">
        <x:v>Character · Company · Relics · Holdings · Projects · World · Chronicle</x:v>
      </x:c>
      <x:c r="D7" s="265" t="str">
        <x:v>OpenAPI operations</x:v>
      </x:c>
      <x:c r="E7" s="269" t="n">
        <x:v>25</x:v>
      </x:c>
      <x:c r="G7"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c r="H7"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row>
    <x:row r="8" ht="44" customHeight="1">
      <x:c r="A8" s="262" t="str">
        <x:v>Implementation boundary</x:v>
      </x:c>
      <x:c r="B8" s="265" t="str">
        <x:v>Contract authoring only; no production frontend, live engine, transport, storage or deployment authorization</x:v>
      </x:c>
      <x:c r="D8" s="265" t="str">
        <x:v>AsyncAPI messages</x:v>
      </x:c>
      <x:c r="E8" s="269" t="n">
        <x:v>9</x:v>
      </x:c>
      <x:c r="G8"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c r="H8"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row>
    <x:row r="9" ht="24" customHeight="1">
      <x:c r="D9" s="265" t="str">
        <x:v>Validation fixtures</x:v>
      </x:c>
      <x:c r="E9" s="269" t="n">
        <x:f>COUNTA('C2 Fixture Coverage'!A5:A100)</x:f>
        <x:v>43</x:v>
      </x:c>
      <x:c r="G9"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c r="H9"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row>
    <x:row r="10" ht="24" customHeight="1">
      <x:c r="D10" s="265" t="str">
        <x:v>Failed fixture gates</x:v>
      </x:c>
      <x:c r="E10" s="269" t="n">
        <x:f>COUNTIF('C2 Fixture Coverage'!E5:E100,"FAIL")</x:f>
        <x:v>0</x:v>
      </x:c>
      <x:c r="G10"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c r="H10" s="244" t="str">
        <x:v>43/43 gates pass. All seven C2 schemas resolve against the four approved C1 schemas. Thirty-four public fixtures validate without forbidden keys. Nine deliberate violations are rejected, including silent BP spend, false death, private motive/Bond/obedience exposure, hidden travel/Site/Front truth and unauthorized custody transfer.</x:v>
      </x:c>
    </x:row>
    <x:row r="11" ht="24" customHeight="1"/>
    <x:row r="12" ht="24" customHeight="1">
      <x:c r="A12" s="273" t="str">
        <x:v>WHAT C2 MAKES CONTRACTUALLY EXPLICIT</x:v>
      </x:c>
      <x:c r="B12" s="273" t="str">
        <x:v>WHAT C2 MAKES CONTRACTUALLY EXPLICIT</x:v>
      </x:c>
      <x:c r="C12" s="273" t="str">
        <x:v>WHAT C2 MAKES CONTRACTUALLY EXPLICIT</x:v>
      </x:c>
      <x:c r="D12" s="273" t="str">
        <x:v>WHAT C2 MAKES CONTRACTUALLY EXPLICIT</x:v>
      </x:c>
      <x:c r="E12" s="273" t="str">
        <x:v>WHAT C2 MAKES CONTRACTUALLY EXPLICIT</x:v>
      </x:c>
      <x:c r="F12" s="273" t="str">
        <x:v>WHAT C2 MAKES CONTRACTUALLY EXPLICIT</x:v>
      </x:c>
      <x:c r="G12" s="273" t="str">
        <x:v>WHAT C2 MAKES CONTRACTUALLY EXPLICIT</x:v>
      </x:c>
      <x:c r="H12" s="273" t="str">
        <x:v>WHAT C2 MAKES CONTRACTUALLY EXPLICIT</x:v>
      </x:c>
    </x:row>
    <x:row r="13" ht="50" customHeight="1">
      <x:c r="A13" s="277" t="str">
        <x:v>1</x:v>
      </x:c>
      <x:c r="B13" s="278" t="str">
        <x:v>Progression</x:v>
      </x:c>
      <x:c r="C13" s="276" t="str">
        <x:v>XP and BP carry event provenance; unspent BP remains banked; drafts are noncanonical; commit requires the reviewed allocation set.</x:v>
      </x:c>
      <x:c r="D13" s="276"/>
      <x:c r="E13" s="276"/>
      <x:c r="F13" s="276"/>
      <x:c r="G13" s="276"/>
      <x:c r="H13" s="276"/>
    </x:row>
    <x:row r="14" ht="50" customHeight="1">
      <x:c r="A14" s="282" t="str">
        <x:v>2</x:v>
      </x:c>
      <x:c r="B14" s="283" t="str">
        <x:v>Harm + continuation</x:v>
      </x:c>
      <x:c r="C14" s="281" t="str">
        <x:v>Zero Vitality triggers defeat evaluation, not automatic death. Wounds persist, and afterlife, ghost, Returned, successor and Legacy paths remain playable.</x:v>
      </x:c>
      <x:c r="D14" s="281"/>
      <x:c r="E14" s="281"/>
      <x:c r="F14" s="281"/>
      <x:c r="G14" s="281"/>
      <x:c r="H14" s="281"/>
    </x:row>
    <x:row r="15" ht="50" customHeight="1">
      <x:c r="A15" s="277" t="str">
        <x:v>3</x:v>
      </x:c>
      <x:c r="B15" s="278" t="str">
        <x:v>Autonomous people</x:v>
      </x:c>
      <x:c r="C15" s="276" t="str">
        <x:v>Recruitment records exact terms. Companions can refuse, counteroffer, leave and act off-screen from their own knowledge and authority.</x:v>
      </x:c>
      <x:c r="D15" s="276"/>
      <x:c r="E15" s="276"/>
      <x:c r="F15" s="276"/>
      <x:c r="G15" s="276"/>
      <x:c r="H15" s="276"/>
    </x:row>
    <x:row r="16" ht="50" customHeight="1">
      <x:c r="A16" s="282" t="str">
        <x:v>4</x:v>
      </x:c>
      <x:c r="B16" s="283" t="str">
        <x:v>Relics</x:v>
      </x:c>
      <x:c r="C16" s="281" t="str">
        <x:v>Custody, ownership, Claim, Recognition, relationship, Attunement and function access are separate; person-like Relics retain agency and succession.</x:v>
      </x:c>
      <x:c r="D16" s="281"/>
      <x:c r="E16" s="281"/>
      <x:c r="F16" s="281"/>
      <x:c r="G16" s="281"/>
      <x:c r="H16" s="281"/>
    </x:row>
    <x:row r="17" ht="50" customHeight="1">
      <x:c r="A17" s="277" t="str">
        <x:v>5</x:v>
      </x:c>
      <x:c r="B17" s="278" t="str">
        <x:v>Holdings + projects</x:v>
      </x:c>
      <x:c r="C17" s="276" t="str">
        <x:v>Items keep custody, ownership, location, condition and provenance. Project intervals reserve and consume materials only after commit and checkpoint resolution.</x:v>
      </x:c>
      <x:c r="D17" s="276"/>
      <x:c r="E17" s="276"/>
      <x:c r="F17" s="276"/>
      <x:c r="G17" s="276"/>
      <x:c r="H17" s="276"/>
    </x:row>
    <x:row r="18" ht="50" customHeight="1">
      <x:c r="A18" s="282" t="str">
        <x:v>6</x:v>
      </x:c>
      <x:c r="B18" s="283" t="str">
        <x:v>World knowledge</x:v>
      </x:c>
      <x:c r="C18" s="281" t="str">
        <x:v>Maps, routes, Sites, Cases, Fronts, response tracks and law are viewpoint projections. Lost state, unknown geometry and private clocks remain omitted.</x:v>
      </x:c>
      <x:c r="D18" s="281"/>
      <x:c r="E18" s="281"/>
      <x:c r="F18" s="281"/>
      <x:c r="G18" s="281"/>
      <x:c r="H18" s="281"/>
    </x:row>
    <x:row r="19" ht="50" customHeight="1">
      <x:c r="A19" s="277" t="str">
        <x:v>7</x:v>
      </x:c>
      <x:c r="B19" s="278" t="str">
        <x:v>Persistent causality</x:v>
      </x:c>
      <x:c r="C19" s="276" t="str">
        <x:v>Travel, wall destruction, evidence loss, warrants, confinement and faction response change durable records rather than spawning convenient content.</x:v>
      </x:c>
      <x:c r="D19" s="276"/>
      <x:c r="E19" s="276"/>
      <x:c r="F19" s="276"/>
      <x:c r="G19" s="276"/>
      <x:c r="H19" s="276"/>
    </x:row>
    <x:row r="20" ht="50" customHeight="1">
      <x:c r="A20" s="282" t="str">
        <x:v>8</x:v>
      </x:c>
      <x:c r="B20" s="283" t="str">
        <x:v>Chronicle routing</x:v>
      </x:c>
      <x:c r="C20" s="281" t="str">
        <x:v>One committed event lineage projects coherent consequences into Character, Company, Holdings, World and Chronicle without becoming an endless chat transcript.</x:v>
      </x:c>
      <x:c r="D20" s="281"/>
      <x:c r="E20" s="281"/>
      <x:c r="F20" s="281"/>
      <x:c r="G20" s="281"/>
      <x:c r="H20" s="281"/>
    </x:row>
    <x:row r="21" ht="24" customHeight="1"/>
    <x:row r="22" ht="24" customHeight="1">
      <x:c r="A22" s="315" t="str">
        <x:v>C2 APPROVAL RECORDED</x:v>
      </x:c>
      <x:c r="B22" s="315" t="str">
        <x:v>C2 APPROVAL GATE</x:v>
      </x:c>
      <x:c r="C22" s="315" t="str">
        <x:v>C2 APPROVAL GATE</x:v>
      </x:c>
      <x:c r="D22" s="315" t="str">
        <x:v>C2 APPROVAL GATE</x:v>
      </x:c>
      <x:c r="E22" s="315" t="str">
        <x:v>C2 APPROVAL GATE</x:v>
      </x:c>
      <x:c r="F22" s="315" t="str">
        <x:v>C2 APPROVAL GATE</x:v>
      </x:c>
      <x:c r="G22" s="315" t="str">
        <x:v>C2 APPROVAL GATE</x:v>
      </x:c>
      <x:c r="H22" s="315" t="str">
        <x:v>C2 APPROVAL GATE</x:v>
      </x:c>
    </x:row>
    <x:row r="23" ht="30" customHeight="1">
      <x:c r="A23" s="316" t="str">
        <x:v>Product-owner approval on 2026-08-23 locks the C2 schemas, twenty-five operation boundaries, nine event messages, cross-surface consequence routing and forty-three fixture expectations. C3 authoring is authorized; production frontend construction remains gated at C4.</x:v>
      </x:c>
      <x:c r="B23"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C23"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D23"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E23"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F23"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G23"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H23"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row>
    <x:row r="24" ht="30" customHeight="1">
      <x:c r="A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B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C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D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E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F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G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H24"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row>
    <x:row r="25" ht="30" customHeight="1">
      <x:c r="A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B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C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D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E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F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G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c r="H25" s="316" t="str">
        <x:v>Approval will lock the C2 system-breadth schemas, twenty-five operation boundaries, nine event messages, cross-surface consequence routing and forty-three deterministic fixture expectations. It will authorize C3 asynchronous, comic and media contract authoring. It will not authorize production frontend construction or waive the C4 implementation gate.</x:v>
      </x:c>
    </x:row>
  </x:sheetData>
  <x:mergeCells>
    <x:mergeCell ref="A1:H1"/>
    <x:mergeCell ref="A2:H2"/>
    <x:mergeCell ref="D4:H4"/>
    <x:mergeCell ref="G5:H5"/>
    <x:mergeCell ref="G6:H10"/>
    <x:mergeCell ref="A12:H12"/>
    <x:mergeCell ref="C13:H13"/>
    <x:mergeCell ref="C14:H14"/>
    <x:mergeCell ref="C15:H15"/>
    <x:mergeCell ref="C16:H16"/>
    <x:mergeCell ref="C17:H17"/>
    <x:mergeCell ref="C18:H18"/>
    <x:mergeCell ref="C19:H19"/>
    <x:mergeCell ref="C20:H20"/>
    <x:mergeCell ref="A22:H22"/>
    <x:mergeCell ref="A23:H25"/>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15" hidden="0" customWidth="1"/>
    <x:col min="2" max="2" width="17" hidden="0" customWidth="1"/>
    <x:col min="3" max="3" width="29" hidden="0" customWidth="1"/>
    <x:col min="4" max="4" width="15" hidden="0" customWidth="1"/>
    <x:col min="5" max="5" width="22" hidden="0" customWidth="1"/>
    <x:col min="6" max="6" width="24" hidden="0" customWidth="1"/>
    <x:col min="7" max="7" width="31" hidden="0" customWidth="1"/>
    <x:col min="8" max="8" width="43" hidden="0" customWidth="1"/>
    <x:col min="9" max="9" width="41" hidden="0" customWidth="1"/>
    <x:col min="10" max="10" width="39" hidden="0" customWidth="1"/>
    <x:col min="11" max="11" width="47" hidden="0" customWidth="1"/>
    <x:col min="12" max="12" width="38" hidden="0" customWidth="1"/>
    <x:col min="13" max="13" width="24" hidden="0" customWidth="1"/>
    <x:col min="14" max="14" width="21" hidden="0" customWidth="1"/>
    <x:col min="15" max="15" width="24" hidden="0" customWidth="1"/>
    <x:col min="16" max="16" width="42" hidden="0" customWidth="1"/>
    <x:col min="17" max="17" width="15" hidden="0" customWidth="1"/>
  </x:cols>
  <x:sheetData>
    <x:row r="1">
      <x:c r="A1" s="255" t="str">
        <x:v>CHECKPOINT C2 • SYSTEM-BREADTH CONTRACT MATRIX</x:v>
      </x:c>
      <x:c r="B1" s="255" t="str">
        <x:v>CHECKPOINT C2 • SYSTEM-BREADTH CONTRACT MATRIX</x:v>
      </x:c>
      <x:c r="C1" s="255" t="str">
        <x:v>CHECKPOINT C2 • SYSTEM-BREADTH CONTRACT MATRIX</x:v>
      </x:c>
      <x:c r="D1" s="255" t="str">
        <x:v>CHECKPOINT C2 • SYSTEM-BREADTH CONTRACT MATRIX</x:v>
      </x:c>
      <x:c r="E1" s="255" t="str">
        <x:v>CHECKPOINT C2 • SYSTEM-BREADTH CONTRACT MATRIX</x:v>
      </x:c>
      <x:c r="F1" s="255" t="str">
        <x:v>CHECKPOINT C2 • SYSTEM-BREADTH CONTRACT MATRIX</x:v>
      </x:c>
      <x:c r="G1" s="255" t="str">
        <x:v>CHECKPOINT C2 • SYSTEM-BREADTH CONTRACT MATRIX</x:v>
      </x:c>
      <x:c r="H1" s="255" t="str">
        <x:v>CHECKPOINT C2 • SYSTEM-BREADTH CONTRACT MATRIX</x:v>
      </x:c>
      <x:c r="I1" s="255" t="str">
        <x:v>CHECKPOINT C2 • SYSTEM-BREADTH CONTRACT MATRIX</x:v>
      </x:c>
      <x:c r="J1" s="255" t="str">
        <x:v>CHECKPOINT C2 • SYSTEM-BREADTH CONTRACT MATRIX</x:v>
      </x:c>
      <x:c r="K1" s="255" t="str">
        <x:v>CHECKPOINT C2 • SYSTEM-BREADTH CONTRACT MATRIX</x:v>
      </x:c>
      <x:c r="L1" s="255" t="str">
        <x:v>CHECKPOINT C2 • SYSTEM-BREADTH CONTRACT MATRIX</x:v>
      </x:c>
      <x:c r="M1" s="255" t="str">
        <x:v>CHECKPOINT C2 • SYSTEM-BREADTH CONTRACT MATRIX</x:v>
      </x:c>
      <x:c r="N1" s="255" t="str">
        <x:v>CHECKPOINT C2 • SYSTEM-BREADTH CONTRACT MATRIX</x:v>
      </x:c>
      <x:c r="O1" s="255" t="str">
        <x:v>CHECKPOINT C2 • SYSTEM-BREADTH CONTRACT MATRIX</x:v>
      </x:c>
      <x:c r="P1" s="255" t="str">
        <x:v>CHECKPOINT C2 • SYSTEM-BREADTH CONTRACT MATRIX</x:v>
      </x:c>
      <x:c r="Q1" s="255" t="str">
        <x:v>CHECKPOINT C2 • SYSTEM-BREADTH CONTRACT MATRIX</x:v>
      </x:c>
    </x:row>
    <x:row r="2">
      <x:c r="A2" s="259" t="str">
        <x:v>Approved mappings across Character, Company, Holdings, World and Chronicle • every draft/commit, authority, knowledge and consequence route is locked</x:v>
      </x:c>
      <x:c r="B2" s="259" t="str">
        <x:v>Candidate mappings across Character, Company, Holdings, World and Chronicle • every draft/commit, authority, knowledge and consequence route remains explicit</x:v>
      </x:c>
      <x:c r="C2" s="259" t="str">
        <x:v>Candidate mappings across Character, Company, Holdings, World and Chronicle • every draft/commit, authority, knowledge and consequence route remains explicit</x:v>
      </x:c>
      <x:c r="D2" s="259" t="str">
        <x:v>Candidate mappings across Character, Company, Holdings, World and Chronicle • every draft/commit, authority, knowledge and consequence route remains explicit</x:v>
      </x:c>
      <x:c r="E2" s="259" t="str">
        <x:v>Candidate mappings across Character, Company, Holdings, World and Chronicle • every draft/commit, authority, knowledge and consequence route remains explicit</x:v>
      </x:c>
      <x:c r="F2" s="259" t="str">
        <x:v>Candidate mappings across Character, Company, Holdings, World and Chronicle • every draft/commit, authority, knowledge and consequence route remains explicit</x:v>
      </x:c>
      <x:c r="G2" s="259" t="str">
        <x:v>Candidate mappings across Character, Company, Holdings, World and Chronicle • every draft/commit, authority, knowledge and consequence route remains explicit</x:v>
      </x:c>
      <x:c r="H2" s="259" t="str">
        <x:v>Candidate mappings across Character, Company, Holdings, World and Chronicle • every draft/commit, authority, knowledge and consequence route remains explicit</x:v>
      </x:c>
      <x:c r="I2" s="259" t="str">
        <x:v>Candidate mappings across Character, Company, Holdings, World and Chronicle • every draft/commit, authority, knowledge and consequence route remains explicit</x:v>
      </x:c>
      <x:c r="J2" s="259" t="str">
        <x:v>Candidate mappings across Character, Company, Holdings, World and Chronicle • every draft/commit, authority, knowledge and consequence route remains explicit</x:v>
      </x:c>
      <x:c r="K2" s="259" t="str">
        <x:v>Candidate mappings across Character, Company, Holdings, World and Chronicle • every draft/commit, authority, knowledge and consequence route remains explicit</x:v>
      </x:c>
      <x:c r="L2" s="259" t="str">
        <x:v>Candidate mappings across Character, Company, Holdings, World and Chronicle • every draft/commit, authority, knowledge and consequence route remains explicit</x:v>
      </x:c>
      <x:c r="M2" s="259" t="str">
        <x:v>Candidate mappings across Character, Company, Holdings, World and Chronicle • every draft/commit, authority, knowledge and consequence route remains explicit</x:v>
      </x:c>
      <x:c r="N2" s="259" t="str">
        <x:v>Candidate mappings across Character, Company, Holdings, World and Chronicle • every draft/commit, authority, knowledge and consequence route remains explicit</x:v>
      </x:c>
      <x:c r="O2" s="259" t="str">
        <x:v>Candidate mappings across Character, Company, Holdings, World and Chronicle • every draft/commit, authority, knowledge and consequence route remains explicit</x:v>
      </x:c>
      <x:c r="P2" s="259" t="str">
        <x:v>Candidate mappings across Character, Company, Holdings, World and Chronicle • every draft/commit, authority, knowledge and consequence route remains explicit</x:v>
      </x:c>
      <x:c r="Q2" s="259" t="str">
        <x:v>Candidate mappings across Character, Company, Holdings, World and Chronicle • every draft/commit, authority, knowledge and consequence route remains explicit</x:v>
      </x:c>
    </x:row>
    <x:row r="4">
      <x:c r="A4" s="296" t="str">
        <x:v>Contract ID</x:v>
      </x:c>
      <x:c r="B4" s="297" t="str">
        <x:v>System</x:v>
      </x:c>
      <x:c r="C4" s="297" t="str">
        <x:v>Payload / Operation</x:v>
      </x:c>
      <x:c r="D4" s="297" t="str">
        <x:v>Direction</x:v>
      </x:c>
      <x:c r="E4" s="297" t="str">
        <x:v>Authority Owner</x:v>
      </x:c>
      <x:c r="F4" s="297" t="str">
        <x:v>Canonical Effect</x:v>
      </x:c>
      <x:c r="G4" s="297" t="str">
        <x:v>Source Artifact</x:v>
      </x:c>
      <x:c r="H4" s="297" t="str">
        <x:v>Knowledge Boundary</x:v>
      </x:c>
      <x:c r="I4" s="297" t="str">
        <x:v>State / Version Rule</x:v>
      </x:c>
      <x:c r="J4" s="297" t="str">
        <x:v>Success State</x:v>
      </x:c>
      <x:c r="K4" s="297" t="str">
        <x:v>Required Exception Branches</x:v>
      </x:c>
      <x:c r="L4" s="297" t="str">
        <x:v>Accessibility Semantics</x:v>
      </x:c>
      <x:c r="M4" s="297" t="str">
        <x:v>Requirements</x:v>
      </x:c>
      <x:c r="N4" s="297" t="str">
        <x:v>Scenarios</x:v>
      </x:c>
      <x:c r="O4" s="297" t="str">
        <x:v>Components</x:v>
      </x:c>
      <x:c r="P4" s="297" t="str">
        <x:v>Fixtures / Tests</x:v>
      </x:c>
      <x:c r="Q4" s="298" t="str">
        <x:v>Status</x:v>
      </x:c>
    </x:row>
    <x:row r="5" ht="82" customHeight="1">
      <x:c r="A5" s="276" t="str">
        <x:v>C2-GRM-001</x:v>
      </x:c>
      <x:c r="B5" s="276" t="str">
        <x:v>Cross-system</x:v>
      </x:c>
      <x:c r="C5" s="276" t="str">
        <x:v>Inspect → draft → preview → commit → resolve → persist</x:v>
      </x:c>
      <x:c r="D5" s="276" t="str">
        <x:v>Bidirectional</x:v>
      </x:c>
      <x:c r="E5" s="276" t="str">
        <x:v>Projection + validator + reducer</x:v>
      </x:c>
      <x:c r="F5" s="276" t="str">
        <x:v>Only explicit commit may request mutation</x:v>
      </x:c>
      <x:c r="G5" s="276" t="str">
        <x:v>All C2 schemas</x:v>
      </x:c>
      <x:c r="H5" s="276" t="str">
        <x:v>Draft and preview expose accessible facts only</x:v>
      </x:c>
      <x:c r="I5" s="276" t="str">
        <x:v>Drafts are noncanonical and source-version bound</x:v>
      </x:c>
      <x:c r="J5" s="276" t="str">
        <x:v>One learnable grammar across all game systems</x:v>
      </x:c>
      <x:c r="K5" s="276" t="str">
        <x:v>Stale, invalid, refused, unavailable, interrupted, conflict</x:v>
      </x:c>
      <x:c r="L5" s="276" t="str">
        <x:v>Stable status, warning and recovery semantics</x:v>
      </x:c>
      <x:c r="M5" s="276" t="str">
        <x:v>FND-003, TIM-005–006</x:v>
      </x:c>
      <x:c r="N5" s="276" t="str">
        <x:v>SCN-02–16</x:v>
      </x:c>
      <x:c r="O5" s="276" t="str">
        <x:v>CMP-03–38</x:v>
      </x:c>
      <x:c r="P5" s="276" t="str">
        <x:v>34 positive + 9 negative fixtures</x:v>
      </x:c>
      <x:c r="Q5" s="323" t="str">
        <x:v>Approved</x:v>
      </x:c>
    </x:row>
    <x:row r="6" ht="82" customHeight="1">
      <x:c r="A6" s="299" t="str">
        <x:v>C2-GRM-002</x:v>
      </x:c>
      <x:c r="B6" s="299" t="str">
        <x:v>Cross-system</x:v>
      </x:c>
      <x:c r="C6" s="299" t="str">
        <x:v>No optimistic canonical mutation</x:v>
      </x:c>
      <x:c r="D6" s="299" t="str">
        <x:v>UI boundary</x:v>
      </x:c>
      <x:c r="E6" s="299" t="str">
        <x:v>Command gateway</x:v>
      </x:c>
      <x:c r="F6" s="299" t="str">
        <x:v>None before receipt</x:v>
      </x:c>
      <x:c r="G6" s="299" t="str">
        <x:v>system-breadth.schema.json</x:v>
      </x:c>
      <x:c r="H6" s="299" t="str">
        <x:v>UI never invents spend, custody, consent or authority</x:v>
      </x:c>
      <x:c r="I6" s="299" t="str">
        <x:v>Reviewed state + idempotency required</x:v>
      </x:c>
      <x:c r="J6" s="299" t="str">
        <x:v>Draft remains editable without side effects</x:v>
      </x:c>
      <x:c r="K6" s="299" t="str">
        <x:v>Unknown commit requires C1 lookup contract</x:v>
      </x:c>
      <x:c r="L6" s="299" t="str">
        <x:v>Noncanonical and pending labels are text-explicit</x:v>
      </x:c>
      <x:c r="M6" s="299" t="str">
        <x:v>TIM-005, GAP-014</x:v>
      </x:c>
      <x:c r="N6" s="299" t="str">
        <x:v>SCN-17</x:v>
      </x:c>
      <x:c r="O6" s="299" t="str">
        <x:v>CMP-08, CMP-17</x:v>
      </x:c>
      <x:c r="P6" s="299" t="str">
        <x:v>all command fixtures</x:v>
      </x:c>
      <x:c r="Q6" s="324" t="str">
        <x:v>Approved</x:v>
      </x:c>
    </x:row>
    <x:row r="7" ht="82" customHeight="1">
      <x:c r="A7" s="300" t="str">
        <x:v>C2-CHAR-001</x:v>
      </x:c>
      <x:c r="B7" s="300" t="str">
        <x:v>Character</x:v>
      </x:c>
      <x:c r="C7" s="300" t="str">
        <x:v>CharacterRecord</x:v>
      </x:c>
      <x:c r="D7" s="300" t="str">
        <x:v>Engine → UI</x:v>
      </x:c>
      <x:c r="E7" s="300" t="str">
        <x:v>Character projection</x:v>
      </x:c>
      <x:c r="F7" s="300" t="str">
        <x:v>None</x:v>
      </x:c>
      <x:c r="G7" s="300" t="str">
        <x:v>character-continuation.schema.json</x:v>
      </x:c>
      <x:c r="H7" s="300" t="str">
        <x:v>XP/BP/Wounds/resources are viewpoint-safe records</x:v>
      </x:c>
      <x:c r="I7" s="300" t="str">
        <x:v>Exact state + knowledge snapshot + event provenance</x:v>
      </x:c>
      <x:c r="J7" s="300" t="str">
        <x:v>Ordinary survivors and powered characters share a truthful sheet</x:v>
      </x:c>
      <x:c r="K7" s="300" t="str">
        <x:v>Zero Vitality branches to defeat evaluation</x:v>
      </x:c>
      <x:c r="L7" s="300" t="str">
        <x:v>Resources and Wounds have semantic labels</x:v>
      </x:c>
      <x:c r="M7" s="300" t="str">
        <x:v>FND-005–006</x:v>
      </x:c>
      <x:c r="N7" s="300" t="str">
        <x:v>SCN-02, SCN-03</x:v>
      </x:c>
      <x:c r="O7" s="300" t="str">
        <x:v>CMP-19–22</x:v>
      </x:c>
      <x:c r="P7" s="300" t="str">
        <x:v>character-ordinary-survivor; false-death negative</x:v>
      </x:c>
      <x:c r="Q7" s="324" t="str">
        <x:v>Approved</x:v>
      </x:c>
    </x:row>
    <x:row r="8" ht="82" customHeight="1">
      <x:c r="A8" s="299" t="str">
        <x:v>C2-CHAR-002</x:v>
      </x:c>
      <x:c r="B8" s="299" t="str">
        <x:v>Character</x:v>
      </x:c>
      <x:c r="C8" s="299" t="str">
        <x:v>AdvancementDraft</x:v>
      </x:c>
      <x:c r="D8" s="299" t="str">
        <x:v>Engine → UI</x:v>
      </x:c>
      <x:c r="E8" s="299" t="str">
        <x:v>Advancement validator</x:v>
      </x:c>
      <x:c r="F8" s="299" t="str">
        <x:v>None</x:v>
      </x:c>
      <x:c r="G8" s="299" t="str">
        <x:v>character-continuation.schema.json</x:v>
      </x:c>
      <x:c r="H8" s="299" t="str">
        <x:v>Only accessible costs, prerequisites and projected changes</x:v>
      </x:c>
      <x:c r="I8" s="299" t="str">
        <x:v>noncanonical=true; checkpoint and draft IDs required</x:v>
      </x:c>
      <x:c r="J8" s="299" t="str">
        <x:v>Player sees spend and remaining BP before commit</x:v>
      </x:c>
      <x:c r="K8" s="299" t="str">
        <x:v>Invalid, stale, unaffordable or gated allocation</x:v>
      </x:c>
      <x:c r="L8" s="299" t="str">
        <x:v>Projected changes and validation remain inspectable</x:v>
      </x:c>
      <x:c r="M8" s="299" t="str">
        <x:v>FND-003, TIM-005</x:v>
      </x:c>
      <x:c r="N8" s="299" t="str">
        <x:v>SCN-02</x:v>
      </x:c>
      <x:c r="O8" s="299" t="str">
        <x:v>CMP-20</x:v>
      </x:c>
      <x:c r="P8" s="299" t="str">
        <x:v>advancement-draft</x:v>
      </x:c>
      <x:c r="Q8" s="324" t="str">
        <x:v>Approved</x:v>
      </x:c>
    </x:row>
    <x:row r="9" ht="82" customHeight="1">
      <x:c r="A9" s="300" t="str">
        <x:v>C2-CHAR-003</x:v>
      </x:c>
      <x:c r="B9" s="300" t="str">
        <x:v>Character</x:v>
      </x:c>
      <x:c r="C9" s="300" t="str">
        <x:v>ContinuationState</x:v>
      </x:c>
      <x:c r="D9" s="300" t="str">
        <x:v>Engine → UI</x:v>
      </x:c>
      <x:c r="E9" s="300" t="str">
        <x:v>Defeat/death projection</x:v>
      </x:c>
      <x:c r="F9" s="300" t="str">
        <x:v>None</x:v>
      </x:c>
      <x:c r="G9" s="300" t="str">
        <x:v>character-continuation.schema.json</x:v>
      </x:c>
      <x:c r="H9" s="300" t="str">
        <x:v>Soul and body facts reflect actual viewpoint knowledge</x:v>
      </x:c>
      <x:c r="I9" s="300" t="str">
        <x:v>Continuation ID and constraints persist across viewpoint transition</x:v>
      </x:c>
      <x:c r="J9" s="300" t="str">
        <x:v>Afterlife, ghost, Returned, successor and Legacy options remain playable</x:v>
      </x:c>
      <x:c r="K9" s="300" t="str">
        <x:v>Constrained agency, unavailable route, permadeath by choice</x:v>
      </x:c>
      <x:c r="L9" s="300" t="str">
        <x:v>Options and constraints use decision semantics</x:v>
      </x:c>
      <x:c r="M9" s="300" t="str">
        <x:v>FND-006</x:v>
      </x:c>
      <x:c r="N9" s="300" t="str">
        <x:v>SCN-03, SCN-06</x:v>
      </x:c>
      <x:c r="O9" s="300" t="str">
        <x:v>CMP-22, CMP-37</x:v>
      </x:c>
      <x:c r="P9" s="300" t="str">
        <x:v>continuation-afterlife</x:v>
      </x:c>
      <x:c r="Q9" s="324" t="str">
        <x:v>Approved</x:v>
      </x:c>
    </x:row>
    <x:row r="10" ht="82" customHeight="1">
      <x:c r="A10" s="299" t="str">
        <x:v>C2-CHAR-004</x:v>
      </x:c>
      <x:c r="B10" s="299" t="str">
        <x:v>Character</x:v>
      </x:c>
      <x:c r="C10" s="299" t="str">
        <x:v>draftAdvancement / commitAdvancement</x:v>
      </x:c>
      <x:c r="D10" s="299" t="str">
        <x:v>UI → Engine</x:v>
      </x:c>
      <x:c r="E10" s="299" t="str">
        <x:v>Advancement validator + reducer</x:v>
      </x:c>
      <x:c r="F10" s="299" t="str">
        <x:v>Commit may spend BP</x:v>
      </x:c>
      <x:c r="G10" s="299" t="str">
        <x:v>mythic-ui-c2.yaml</x:v>
      </x:c>
      <x:c r="H10" s="299" t="str">
        <x:v>No hidden auto-build or silent spend</x:v>
      </x:c>
      <x:c r="I10" s="299" t="str">
        <x:v>Reviewed draft and allocation IDs required for commit</x:v>
      </x:c>
      <x:c r="J10" s="299" t="str">
        <x:v>Ledgered allocation with banked remainder</x:v>
      </x:c>
      <x:c r="K10" s="299" t="str">
        <x:v>Stale checkpoint, rule invalid, unknown commit</x:v>
      </x:c>
      <x:c r="L10" s="299" t="str">
        <x:v>Final consequence confirmation is explicit</x:v>
      </x:c>
      <x:c r="M10" s="299" t="str">
        <x:v>TIM-005</x:v>
      </x:c>
      <x:c r="N10" s="299" t="str">
        <x:v>SCN-02</x:v>
      </x:c>
      <x:c r="O10" s="299" t="str">
        <x:v>CMP-20</x:v>
      </x:c>
      <x:c r="P10" s="299" t="str">
        <x:v>draft + commit + silent-spend negative</x:v>
      </x:c>
      <x:c r="Q10" s="324" t="str">
        <x:v>Approved</x:v>
      </x:c>
    </x:row>
    <x:row r="11" ht="82" customHeight="1">
      <x:c r="A11" s="300" t="str">
        <x:v>C2-CHAR-005</x:v>
      </x:c>
      <x:c r="B11" s="300" t="str">
        <x:v>Character</x:v>
      </x:c>
      <x:c r="C11" s="300" t="str">
        <x:v>progression_committed / defeat_continuation_changed</x:v>
      </x:c>
      <x:c r="D11" s="300" t="str">
        <x:v>Engine → UI</x:v>
      </x:c>
      <x:c r="E11" s="300" t="str">
        <x:v>Reducer/event stream</x:v>
      </x:c>
      <x:c r="F11" s="300" t="str">
        <x:v>Reflects committed mutation</x:v>
      </x:c>
      <x:c r="G11" s="300" t="str">
        <x:v>mythic-events-c2.yaml</x:v>
      </x:c>
      <x:c r="H11" s="300" t="str">
        <x:v>Public event contains no private build or soul truth</x:v>
      </x:c>
      <x:c r="I11" s="300" t="str">
        <x:v>Event lineage and state version order projections</x:v>
      </x:c>
      <x:c r="J11" s="300" t="str">
        <x:v>Character and continuation views refresh coherently</x:v>
      </x:c>
      <x:c r="K11" s="300" t="str">
        <x:v>Reconnect, constrained agency, successor transition</x:v>
      </x:c>
      <x:c r="L11" s="300" t="str">
        <x:v>Material state changes announced</x:v>
      </x:c>
      <x:c r="M11" s="300" t="str">
        <x:v>TIM-001, FND-006</x:v>
      </x:c>
      <x:c r="N11" s="300" t="str">
        <x:v>SCN-02, SCN-03</x:v>
      </x:c>
      <x:c r="O11" s="300" t="str">
        <x:v>CMP-38</x:v>
      </x:c>
      <x:c r="P11" s="300" t="str">
        <x:v>two event fixtures</x:v>
      </x:c>
      <x:c r="Q11" s="324" t="str">
        <x:v>Approved</x:v>
      </x:c>
    </x:row>
    <x:row r="12" ht="82" customHeight="1">
      <x:c r="A12" s="299" t="str">
        <x:v>C2-COMP-001</x:v>
      </x:c>
      <x:c r="B12" s="299" t="str">
        <x:v>Company</x:v>
      </x:c>
      <x:c r="C12" s="299" t="str">
        <x:v>CompanyRecord</x:v>
      </x:c>
      <x:c r="D12" s="299" t="str">
        <x:v>Engine → UI</x:v>
      </x:c>
      <x:c r="E12" s="299" t="str">
        <x:v>Company projection</x:v>
      </x:c>
      <x:c r="F12" s="299" t="str">
        <x:v>None</x:v>
      </x:c>
      <x:c r="G12" s="299" t="str">
        <x:v>company-relics.schema.json</x:v>
      </x:c>
      <x:c r="H12" s="299" t="str">
        <x:v>Roster shows accepted roles and terms, not private drives</x:v>
      </x:c>
      <x:c r="I12" s="299" t="str">
        <x:v>Membership and authority facts are event sourced</x:v>
      </x:c>
      <x:c r="J12" s="299" t="str">
        <x:v>Governance, roster, shared assets and obligations are clear</x:v>
      </x:c>
      <x:c r="K12" s="299" t="str">
        <x:v>Separated, unavailable, departed, captured, dead</x:v>
      </x:c>
      <x:c r="L12" s="299" t="str">
        <x:v>Roster states are textual and noncolor</x:v>
      </x:c>
      <x:c r="M12" s="299" t="str">
        <x:v>PTY-001, PTY-003</x:v>
      </x:c>
      <x:c r="N12" s="299" t="str">
        <x:v>SCN-07</x:v>
      </x:c>
      <x:c r="O12" s="299" t="str">
        <x:v>CMP-23–25</x:v>
      </x:c>
      <x:c r="P12" s="299" t="str">
        <x:v>company-record</x:v>
      </x:c>
      <x:c r="Q12" s="324" t="str">
        <x:v>Approved</x:v>
      </x:c>
    </x:row>
    <x:row r="13" ht="82" customHeight="1">
      <x:c r="A13" s="300" t="str">
        <x:v>C2-COMP-002</x:v>
      </x:c>
      <x:c r="B13" s="300" t="str">
        <x:v>Company</x:v>
      </x:c>
      <x:c r="C13" s="300" t="str">
        <x:v>AutonomousActorStatus</x:v>
      </x:c>
      <x:c r="D13" s="300" t="str">
        <x:v>Engine → UI</x:v>
      </x:c>
      <x:c r="E13" s="300" t="str">
        <x:v>Actor-safe projection</x:v>
      </x:c>
      <x:c r="F13" s="300" t="str">
        <x:v>None</x:v>
      </x:c>
      <x:c r="G13" s="300" t="str">
        <x:v>company-relics.schema.json</x:v>
      </x:c>
      <x:c r="H13" s="300" t="str">
        <x:v>Qualitative state requires evidence; exact private values omitted</x:v>
      </x:c>
      <x:c r="I13" s="300" t="str">
        <x:v>Delegated authority and last contact are timestamped</x:v>
      </x:c>
      <x:c r="J13" s="300" t="str">
        <x:v>Player understands availability, intent, boundary and legal delegation</x:v>
      </x:c>
      <x:c r="K13" s="300" t="str">
        <x:v>Refusal, counteroffer, separation, departure</x:v>
      </x:c>
      <x:c r="L13" s="300" t="str">
        <x:v>Dialogue/status update uses actor-safe reason</x:v>
      </x:c>
      <x:c r="M13" s="300" t="str">
        <x:v>PTY-003, KNO-001</x:v>
      </x:c>
      <x:c r="N13" s="300" t="str">
        <x:v>SCN-07, SCN-08</x:v>
      </x:c>
      <x:c r="O13" s="300" t="str">
        <x:v>CMP-24, CMP-35</x:v>
      </x:c>
      <x:c r="P13" s="300" t="str">
        <x:v>actor refusal + motive/obedience negatives</x:v>
      </x:c>
      <x:c r="Q13" s="324" t="str">
        <x:v>Approved</x:v>
      </x:c>
    </x:row>
    <x:row r="14" ht="82" customHeight="1">
      <x:c r="A14" s="299" t="str">
        <x:v>C2-COMP-003</x:v>
      </x:c>
      <x:c r="B14" s="299" t="str">
        <x:v>Relics</x:v>
      </x:c>
      <x:c r="C14" s="299" t="str">
        <x:v>RelicRecord</x:v>
      </x:c>
      <x:c r="D14" s="299" t="str">
        <x:v>Engine → UI</x:v>
      </x:c>
      <x:c r="E14" s="299" t="str">
        <x:v>Relic projection</x:v>
      </x:c>
      <x:c r="F14" s="299" t="str">
        <x:v>None</x:v>
      </x:c>
      <x:c r="G14" s="299" t="str">
        <x:v>company-relics.schema.json</x:v>
      </x:c>
      <x:c r="H14" s="299" t="str">
        <x:v>Custody/ownership/Claim/Recognition/relationship/Attunement/access remain distinct</x:v>
      </x:c>
      <x:c r="I14" s="299" t="str">
        <x:v>Continuity, reformation and succession persist</x:v>
      </x:c>
      <x:c r="J14" s="299" t="str">
        <x:v>Player sees what is held, claimed, recognized and usable</x:v>
      </x:c>
      <x:c r="K14" s="299" t="str">
        <x:v>Refusal, dormancy, severance, disputed succession</x:v>
      </x:c>
      <x:c r="L14" s="299" t="str">
        <x:v>Function availability includes accessible reason</x:v>
      </x:c>
      <x:c r="M14" s="299" t="str">
        <x:v>PTY-003, KNO-001</x:v>
      </x:c>
      <x:c r="N14" s="299" t="str">
        <x:v>SCN-08, SCN-12</x:v>
      </x:c>
      <x:c r="O14" s="299" t="str">
        <x:v>CMP-25</x:v>
      </x:c>
      <x:c r="P14" s="299" t="str">
        <x:v>relic-record + exact-Bond negative</x:v>
      </x:c>
      <x:c r="Q14" s="324" t="str">
        <x:v>Approved</x:v>
      </x:c>
    </x:row>
    <x:row r="15" ht="82" customHeight="1">
      <x:c r="A15" s="300" t="str">
        <x:v>C2-COMP-004</x:v>
      </x:c>
      <x:c r="B15" s="300" t="str">
        <x:v>Company / Relics</x:v>
      </x:c>
      <x:c r="C15" s="300" t="str">
        <x:v>Recruitment + autonomous action requests</x:v>
      </x:c>
      <x:c r="D15" s="300" t="str">
        <x:v>UI → Engine</x:v>
      </x:c>
      <x:c r="E15" s="300" t="str">
        <x:v>Candidate or Relic actor</x:v>
      </x:c>
      <x:c r="F15" s="300" t="str">
        <x:v>May create accepted terms after resolution</x:v>
      </x:c>
      <x:c r="G15" s="300" t="str">
        <x:v>system-breadth.schema.json</x:v>
      </x:c>
      <x:c r="H15" s="300" t="str">
        <x:v>Exact terms disclosed; refusal preserved</x:v>
      </x:c>
      <x:c r="I15" s="300" t="str">
        <x:v>Idempotent request bound to source state</x:v>
      </x:c>
      <x:c r="J15" s="300" t="str">
        <x:v>Acceptance, counteroffer or refusal is machine-distinct</x:v>
      </x:c>
      <x:c r="K15" s="300" t="str">
        <x:v>Impossible boundary, coercion, departure</x:v>
      </x:c>
      <x:c r="L15" s="300" t="str">
        <x:v>Terms and actor response are structured</x:v>
      </x:c>
      <x:c r="M15" s="300" t="str">
        <x:v>PTY-003</x:v>
      </x:c>
      <x:c r="N15" s="300" t="str">
        <x:v>SCN-07, SCN-08</x:v>
      </x:c>
      <x:c r="O15" s="300" t="str">
        <x:v>CMP-24–25</x:v>
      </x:c>
      <x:c r="P15" s="300" t="str">
        <x:v>recruitment + request fixtures</x:v>
      </x:c>
      <x:c r="Q15" s="324" t="str">
        <x:v>Approved</x:v>
      </x:c>
    </x:row>
    <x:row r="16" ht="82" customHeight="1">
      <x:c r="A16" s="299" t="str">
        <x:v>C2-COMP-005</x:v>
      </x:c>
      <x:c r="B16" s="299" t="str">
        <x:v>Company / Relics</x:v>
      </x:c>
      <x:c r="C16" s="299" t="str">
        <x:v>actor/relic status events</x:v>
      </x:c>
      <x:c r="D16" s="299" t="str">
        <x:v>Engine → UI</x:v>
      </x:c>
      <x:c r="E16" s="299" t="str">
        <x:v>Actor/relic reducers</x:v>
      </x:c>
      <x:c r="F16" s="299" t="str">
        <x:v>Reflects committed result</x:v>
      </x:c>
      <x:c r="G16" s="299" t="str">
        <x:v>mythic-events-c2.yaml</x:v>
      </x:c>
      <x:c r="H16" s="299" t="str">
        <x:v>Accessible reason and projection refs only</x:v>
      </x:c>
      <x:c r="I16" s="299" t="str">
        <x:v>One event routes to Company, Relic and Chronicle</x:v>
      </x:c>
      <x:c r="J16" s="299" t="str">
        <x:v>Refusal and status changes update all surfaces</x:v>
      </x:c>
      <x:c r="K16" s="299" t="str">
        <x:v>Withholding, refusal, reformation, succession</x:v>
      </x:c>
      <x:c r="L16" s="299" t="str">
        <x:v>Polite/status or assertive/decision as material</x:v>
      </x:c>
      <x:c r="M16" s="299" t="str">
        <x:v>PTY-003</x:v>
      </x:c>
      <x:c r="N16" s="299" t="str">
        <x:v>SCN-07, SCN-08, SCN-12</x:v>
      </x:c>
      <x:c r="O16" s="299" t="str">
        <x:v>CMP-38</x:v>
      </x:c>
      <x:c r="P16" s="299" t="str">
        <x:v>actor-refused + relic-status events</x:v>
      </x:c>
      <x:c r="Q16" s="324" t="str">
        <x:v>Approved</x:v>
      </x:c>
    </x:row>
    <x:row r="17" ht="82" customHeight="1">
      <x:c r="A17" s="300" t="str">
        <x:v>C2-HOLD-001</x:v>
      </x:c>
      <x:c r="B17" s="300" t="str">
        <x:v>Holdings</x:v>
      </x:c>
      <x:c r="C17" s="300" t="str">
        <x:v>HoldingsRecord</x:v>
      </x:c>
      <x:c r="D17" s="300" t="str">
        <x:v>Engine → UI</x:v>
      </x:c>
      <x:c r="E17" s="300" t="str">
        <x:v>Inventory/economy projection</x:v>
      </x:c>
      <x:c r="F17" s="300" t="str">
        <x:v>None</x:v>
      </x:c>
      <x:c r="G17" s="300" t="str">
        <x:v>holdings-projects.schema.json</x:v>
      </x:c>
      <x:c r="H17" s="300" t="str">
        <x:v>Location, custody, ownership, condition and legal status are separate</x:v>
      </x:c>
      <x:c r="I17" s="300" t="str">
        <x:v>Every item/fund/facility is as-of Ledger Time</x:v>
      </x:c>
      <x:c r="J17" s="300" t="str">
        <x:v>No generic inventory erases provenance or law</x:v>
      </x:c>
      <x:c r="K17" s="300" t="str">
        <x:v>Lost, stolen, seized, installed, consumed, destroyed</x:v>
      </x:c>
      <x:c r="L17" s="300" t="str">
        <x:v>Item state is textual and inspectable</x:v>
      </x:c>
      <x:c r="M17" s="300" t="str">
        <x:v>FND-005, KNO-001</x:v>
      </x:c>
      <x:c r="N17" s="300" t="str">
        <x:v>SCN-12</x:v>
      </x:c>
      <x:c r="O17" s="300" t="str">
        <x:v>CMP-26–27</x:v>
      </x:c>
      <x:c r="P17" s="300" t="str">
        <x:v>holdings-record</x:v>
      </x:c>
      <x:c r="Q17" s="324" t="str">
        <x:v>Approved</x:v>
      </x:c>
    </x:row>
    <x:row r="18" ht="82" customHeight="1">
      <x:c r="A18" s="299" t="str">
        <x:v>C2-HOLD-002</x:v>
      </x:c>
      <x:c r="B18" s="299" t="str">
        <x:v>Projects</x:v>
      </x:c>
      <x:c r="C18" s="299" t="str">
        <x:v>ProjectRecord</x:v>
      </x:c>
      <x:c r="D18" s="299" t="str">
        <x:v>Engine → UI</x:v>
      </x:c>
      <x:c r="E18" s="299" t="str">
        <x:v>Project projection</x:v>
      </x:c>
      <x:c r="F18" s="299" t="str">
        <x:v>None</x:v>
      </x:c>
      <x:c r="G18" s="299" t="str">
        <x:v>holdings-projects.schema.json</x:v>
      </x:c>
      <x:c r="H18" s="299" t="str">
        <x:v>Known requirements and hazards declared before work</x:v>
      </x:c>
      <x:c r="I18" s="299" t="str">
        <x:v>Progress and materials update only on resolved interval</x:v>
      </x:c>
      <x:c r="J18" s="299" t="str">
        <x:v>Player sees checkpoint, ledgered materials and next choice</x:v>
      </x:c>
      <x:c r="K18" s="299" t="str">
        <x:v>Blocked, failed, abandoned, hidden contaminant only if preexisting</x:v>
      </x:c>
      <x:c r="L18" s="299" t="str">
        <x:v>Checkpoint announcement and material alternatives</x:v>
      </x:c>
      <x:c r="M18" s="299" t="str">
        <x:v>TIM-004</x:v>
      </x:c>
      <x:c r="N18" s="299" t="str">
        <x:v>SCN-13</x:v>
      </x:c>
      <x:c r="O18" s="299" t="str">
        <x:v>CMP-28</x:v>
      </x:c>
      <x:c r="P18" s="299" t="str">
        <x:v>project-record</x:v>
      </x:c>
      <x:c r="Q18" s="324" t="str">
        <x:v>Approved</x:v>
      </x:c>
    </x:row>
    <x:row r="19" ht="82" customHeight="1">
      <x:c r="A19" s="300" t="str">
        <x:v>C2-HOLD-003</x:v>
      </x:c>
      <x:c r="B19" s="300" t="str">
        <x:v>Projects</x:v>
      </x:c>
      <x:c r="C19" s="300" t="str">
        <x:v>draftProjectInterval / commitProjectInterval</x:v>
      </x:c>
      <x:c r="D19" s="300" t="str">
        <x:v>UI → Engine</x:v>
      </x:c>
      <x:c r="E19" s="300" t="str">
        <x:v>Project validator + reducer</x:v>
      </x:c>
      <x:c r="F19" s="300" t="str">
        <x:v>Commit may spend time/materials</x:v>
      </x:c>
      <x:c r="G19" s="300" t="str">
        <x:v>mythic-ui-c2.yaml</x:v>
      </x:c>
      <x:c r="H19" s="300" t="str">
        <x:v>Workers and lots require accessible authority</x:v>
      </x:c>
      <x:c r="I19" s="300" t="str">
        <x:v>Reviewed interval, authority refs and idempotency required</x:v>
      </x:c>
      <x:c r="J19" s="300" t="str">
        <x:v>Committed interval resolves reproducibly</x:v>
      </x:c>
      <x:c r="K19" s="300" t="str">
        <x:v>Missing facility/material/authority; stale project</x:v>
      </x:c>
      <x:c r="L19" s="300" t="str">
        <x:v>Preview names spend and hazards before confirmation</x:v>
      </x:c>
      <x:c r="M19" s="300" t="str">
        <x:v>TIM-004–005</x:v>
      </x:c>
      <x:c r="N19" s="300" t="str">
        <x:v>SCN-13</x:v>
      </x:c>
      <x:c r="O19" s="300" t="str">
        <x:v>CMP-28</x:v>
      </x:c>
      <x:c r="P19" s="300" t="str">
        <x:v>draft + commit project fixtures</x:v>
      </x:c>
      <x:c r="Q19" s="324" t="str">
        <x:v>Approved</x:v>
      </x:c>
    </x:row>
    <x:row r="20" ht="82" customHeight="1">
      <x:c r="A20" s="299" t="str">
        <x:v>C2-HOLD-004</x:v>
      </x:c>
      <x:c r="B20" s="299" t="str">
        <x:v>Holdings</x:v>
      </x:c>
      <x:c r="C20" s="299" t="str">
        <x:v>transferCustody</x:v>
      </x:c>
      <x:c r="D20" s="299" t="str">
        <x:v>UI → Engine</x:v>
      </x:c>
      <x:c r="E20" s="299" t="str">
        <x:v>Custody validator + reducer</x:v>
      </x:c>
      <x:c r="F20" s="299" t="str">
        <x:v>May change custody only</x:v>
      </x:c>
      <x:c r="G20" s="299" t="str">
        <x:v>mythic-ui-c2.yaml</x:v>
      </x:c>
      <x:c r="H20" s="299" t="str">
        <x:v>Transfer does not imply ownership, Claim, Bond or Attunement</x:v>
      </x:c>
      <x:c r="I20" s="299" t="str">
        <x:v>Authority and exact terms are mandatory</x:v>
      </x:c>
      <x:c r="J20" s="299" t="str">
        <x:v>Item changes holder while other rights remain explicit</x:v>
      </x:c>
      <x:c r="K20" s="299" t="str">
        <x:v>Refused recipient, missing authority, stale item state</x:v>
      </x:c>
      <x:c r="L20" s="299" t="str">
        <x:v>Destructive/material confirmation</x:v>
      </x:c>
      <x:c r="M20" s="299" t="str">
        <x:v>TIM-005</x:v>
      </x:c>
      <x:c r="N20" s="299" t="str">
        <x:v>SCN-12, SCN-15</x:v>
      </x:c>
      <x:c r="O20" s="299" t="str">
        <x:v>CMP-27</x:v>
      </x:c>
      <x:c r="P20" s="299" t="str">
        <x:v>transfer + no-authority negative</x:v>
      </x:c>
      <x:c r="Q20" s="324" t="str">
        <x:v>Approved</x:v>
      </x:c>
    </x:row>
    <x:row r="21" ht="82" customHeight="1">
      <x:c r="A21" s="300" t="str">
        <x:v>C2-HOLD-005</x:v>
      </x:c>
      <x:c r="B21" s="300" t="str">
        <x:v>Holdings / Projects</x:v>
      </x:c>
      <x:c r="C21" s="300" t="str">
        <x:v>custody_transferred / project_checkpoint_reached</x:v>
      </x:c>
      <x:c r="D21" s="300" t="str">
        <x:v>Engine → UI</x:v>
      </x:c>
      <x:c r="E21" s="300" t="str">
        <x:v>Reducer/event stream</x:v>
      </x:c>
      <x:c r="F21" s="300" t="str">
        <x:v>Reflects committed mutation</x:v>
      </x:c>
      <x:c r="G21" s="300" t="str">
        <x:v>mythic-events-c2.yaml</x:v>
      </x:c>
      <x:c r="H21" s="300" t="str">
        <x:v>Only accessible transfer/project effects</x:v>
      </x:c>
      <x:c r="I21" s="300" t="str">
        <x:v>Event IDs route to impacted surfaces</x:v>
      </x:c>
      <x:c r="J21" s="300" t="str">
        <x:v>Holdings, projects, Sites and Chronicle remain coherent</x:v>
      </x:c>
      <x:c r="K21" s="300" t="str">
        <x:v>Ownership unchanged; checkpoint interruption</x:v>
      </x:c>
      <x:c r="L21" s="300" t="str">
        <x:v>Material updates announced once</x:v>
      </x:c>
      <x:c r="M21" s="300" t="str">
        <x:v>TIM-001, TIM-004</x:v>
      </x:c>
      <x:c r="N21" s="300" t="str">
        <x:v>SCN-12, SCN-13</x:v>
      </x:c>
      <x:c r="O21" s="300" t="str">
        <x:v>CMP-38</x:v>
      </x:c>
      <x:c r="P21" s="300" t="str">
        <x:v>two event fixtures</x:v>
      </x:c>
      <x:c r="Q21" s="324" t="str">
        <x:v>Approved</x:v>
      </x:c>
    </x:row>
    <x:row r="22" ht="82" customHeight="1">
      <x:c r="A22" s="299" t="str">
        <x:v>C2-WORLD-001</x:v>
      </x:c>
      <x:c r="B22" s="299" t="str">
        <x:v>World</x:v>
      </x:c>
      <x:c r="C22" s="299" t="str">
        <x:v>KnownWorldMap</x:v>
      </x:c>
      <x:c r="D22" s="299" t="str">
        <x:v>Engine → UI</x:v>
      </x:c>
      <x:c r="E22" s="299" t="str">
        <x:v>Knowledge map projection</x:v>
      </x:c>
      <x:c r="F22" s="299" t="str">
        <x:v>None</x:v>
      </x:c>
      <x:c r="G22" s="299" t="str">
        <x:v>world-investigation.schema.json</x:v>
      </x:c>
      <x:c r="H22" s="299" t="str">
        <x:v>Canonical map omitted; only reported/located/entered/surveyed/mapped knowledge</x:v>
      </x:c>
      <x:c r="I22" s="299" t="str">
        <x:v>Verification and staleness are Ledger Time based</x:v>
      </x:c>
      <x:c r="J22" s="299" t="str">
        <x:v>Player can plan from honest, sourced map knowledge</x:v>
      </x:c>
      <x:c r="K22" s="299" t="str">
        <x:v>Uncertain, lost, displaced, closed and last-known</x:v>
      </x:c>
      <x:c r="L22" s="299" t="str">
        <x:v>Uncertainty is text and source, not blur alone</x:v>
      </x:c>
      <x:c r="M22" s="299" t="str">
        <x:v>KNO-001</x:v>
      </x:c>
      <x:c r="N22" s="299" t="str">
        <x:v>SCN-09</x:v>
      </x:c>
      <x:c r="O22" s="299" t="str">
        <x:v>CMP-29</x:v>
      </x:c>
      <x:c r="P22" s="299" t="str">
        <x:v>known-world-map</x:v>
      </x:c>
      <x:c r="Q22" s="324" t="str">
        <x:v>Approved</x:v>
      </x:c>
    </x:row>
    <x:row r="23" ht="82" customHeight="1">
      <x:c r="A23" s="300" t="str">
        <x:v>C2-WORLD-002</x:v>
      </x:c>
      <x:c r="B23" s="300" t="str">
        <x:v>Travel</x:v>
      </x:c>
      <x:c r="C23" s="300" t="str">
        <x:v>JourneyState</x:v>
      </x:c>
      <x:c r="D23" s="300" t="str">
        <x:v>Engine → UI</x:v>
      </x:c>
      <x:c r="E23" s="300" t="str">
        <x:v>Journey projection</x:v>
      </x:c>
      <x:c r="F23" s="300" t="str">
        <x:v>None</x:v>
      </x:c>
      <x:c r="G23" s="300" t="str">
        <x:v>world-investigation.schema.json</x:v>
      </x:c>
      <x:c r="H23" s="300" t="str">
        <x:v>Lost state omits actual coordinates and shows sensory deductions</x:v>
      </x:c>
      <x:c r="I23" s="300" t="str">
        <x:v>One leg/interval commits method, pace, roles and resource forecast</x:v>
      </x:c>
      <x:c r="J23" s="300" t="str">
        <x:v>Travel stays interactive and compressible without teleporting</x:v>
      </x:c>
      <x:c r="K23" s="300" t="str">
        <x:v>Lost, event pause, closure, actor refusal, shortage</x:v>
      </x:c>
      <x:c r="L23" s="300" t="str">
        <x:v>Pause reason and role authority are explicit</x:v>
      </x:c>
      <x:c r="M23" s="300" t="str">
        <x:v>TIM-004, PTY-003</x:v>
      </x:c>
      <x:c r="N23" s="300" t="str">
        <x:v>SCN-09</x:v>
      </x:c>
      <x:c r="O23" s="300" t="str">
        <x:v>CMP-30</x:v>
      </x:c>
      <x:c r="P23" s="300" t="str">
        <x:v>journey-lost + coordinate negative</x:v>
      </x:c>
      <x:c r="Q23" s="324" t="str">
        <x:v>Approved</x:v>
      </x:c>
    </x:row>
    <x:row r="24" ht="82" customHeight="1">
      <x:c r="A24" s="299" t="str">
        <x:v>C2-WORLD-003</x:v>
      </x:c>
      <x:c r="B24" s="299" t="str">
        <x:v>Sites</x:v>
      </x:c>
      <x:c r="C24" s="299" t="str">
        <x:v>SiteRecord</x:v>
      </x:c>
      <x:c r="D24" s="299" t="str">
        <x:v>Engine → UI</x:v>
      </x:c>
      <x:c r="E24" s="299" t="str">
        <x:v>Site knowledge projection</x:v>
      </x:c>
      <x:c r="F24" s="299" t="str">
        <x:v>None</x:v>
      </x:c>
      <x:c r="G24" s="299" t="str">
        <x:v>world-investigation.schema.json</x:v>
      </x:c>
      <x:c r="H24" s="299" t="str">
        <x:v>Only known Zones/Connections; no hidden counts or completion percentage</x:v>
      </x:c>
      <x:c r="I24" s="299" t="str">
        <x:v>Persistent changes survive leaving/reload</x:v>
      </x:c>
      <x:c r="J24" s="299" t="str">
        <x:v>Destroyed walls, created routes and stale maps remain world facts</x:v>
      </x:c>
      <x:c r="K24" s="299" t="str">
        <x:v>Collapse, blocked route, destroyed evidence, still-active assessment</x:v>
      </x:c>
      <x:c r="L24" s="299" t="str">
        <x:v>Known topology has text equivalents</x:v>
      </x:c>
      <x:c r="M24" s="299" t="str">
        <x:v>BRK-006, KNO-001</x:v>
      </x:c>
      <x:c r="N24" s="299" t="str">
        <x:v>SCN-10, SCN-11</x:v>
      </x:c>
      <x:c r="O24" s="299" t="str">
        <x:v>CMP-31</x:v>
      </x:c>
      <x:c r="P24" s="299" t="str">
        <x:v>site breach + hidden-count negative</x:v>
      </x:c>
      <x:c r="Q24" s="324" t="str">
        <x:v>Approved</x:v>
      </x:c>
    </x:row>
    <x:row r="25" ht="82" customHeight="1">
      <x:c r="A25" s="300" t="str">
        <x:v>C2-WORLD-004</x:v>
      </x:c>
      <x:c r="B25" s="300" t="str">
        <x:v>Investigation</x:v>
      </x:c>
      <x:c r="C25" s="300" t="str">
        <x:v>CaseRecord</x:v>
      </x:c>
      <x:c r="D25" s="300" t="str">
        <x:v>Engine → UI</x:v>
      </x:c>
      <x:c r="E25" s="300" t="str">
        <x:v>Case knowledge projection</x:v>
      </x:c>
      <x:c r="F25" s="300" t="str">
        <x:v>None</x:v>
      </x:c>
      <x:c r="G25" s="300" t="str">
        <x:v>world-investigation.schema.json</x:v>
      </x:c>
      <x:c r="H25" s="300" t="str">
        <x:v>Claims are evidence classifications, never engine truth certification</x:v>
      </x:c>
      <x:c r="I25" s="300" t="str">
        <x:v>Evidence provenance, custody and contradiction persist</x:v>
      </x:c>
      <x:c r="J25" s="300" t="str">
        <x:v>Player constructs questions, claims and leads</x:v>
      </x:c>
      <x:c r="K25" s="300" t="str">
        <x:v>Evidence destroyed, witness refuses, contradiction unresolved</x:v>
      </x:c>
      <x:c r="L25" s="300" t="str">
        <x:v>Graph relationships remain list/keyboard readable</x:v>
      </x:c>
      <x:c r="M25" s="300" t="str">
        <x:v>KNO-001</x:v>
      </x:c>
      <x:c r="N25" s="300" t="str">
        <x:v>SCN-10</x:v>
      </x:c>
      <x:c r="O25" s="300" t="str">
        <x:v>CMP-32</x:v>
      </x:c>
      <x:c r="P25" s="300" t="str">
        <x:v>case-record</x:v>
      </x:c>
      <x:c r="Q25" s="324" t="str">
        <x:v>Approved</x:v>
      </x:c>
    </x:row>
    <x:row r="26" ht="82" customHeight="1">
      <x:c r="A26" s="299" t="str">
        <x:v>C2-WORLD-005</x:v>
      </x:c>
      <x:c r="B26" s="299" t="str">
        <x:v>Fronts / Law</x:v>
      </x:c>
      <x:c r="C26" s="299" t="str">
        <x:v>FactionFrontLegalRecord</x:v>
      </x:c>
      <x:c r="D26" s="299" t="str">
        <x:v>Engine → UI</x:v>
      </x:c>
      <x:c r="E26" s="299" t="str">
        <x:v>Faction/legal projection</x:v>
      </x:c>
      <x:c r="F26" s="299" t="str">
        <x:v>None</x:v>
      </x:c>
      <x:c r="G26" s="299" t="str">
        <x:v>world-investigation.schema.json</x:v>
      </x:c>
      <x:c r="H26" s="299" t="str">
        <x:v>Qualitative Front pressure requires evidence; private clocks omitted</x:v>
      </x:c>
      <x:c r="I26" s="299" t="str">
        <x:v>Heat/Exposure/Threat/Notoriety/Reputation/Jurisdiction remain separate</x:v>
      </x:c>
      <x:c r="J26" s="299" t="str">
        <x:v>Player sees who knows what, under which authority and process stage</x:v>
      </x:c>
      <x:c r="K26" s="299" t="str">
        <x:v>Disputed jurisdiction, wrongful accusation, warrant, confinement</x:v>
      </x:c>
      <x:c r="L26" s="299" t="str">
        <x:v>Legal stage and options are textual</x:v>
      </x:c>
      <x:c r="M26" s="299" t="str">
        <x:v>KNO-001, FND-006</x:v>
      </x:c>
      <x:c r="N26" s="299" t="str">
        <x:v>SCN-14–16</x:v>
      </x:c>
      <x:c r="O26" s="299" t="str">
        <x:v>CMP-33–34</x:v>
      </x:c>
      <x:c r="P26" s="299" t="str">
        <x:v>front/legal + secret-clock negative</x:v>
      </x:c>
      <x:c r="Q26" s="324" t="str">
        <x:v>Approved</x:v>
      </x:c>
    </x:row>
    <x:row r="27" ht="82" customHeight="1">
      <x:c r="A27" s="300" t="str">
        <x:v>C2-WORLD-006</x:v>
      </x:c>
      <x:c r="B27" s="300" t="str">
        <x:v>World</x:v>
      </x:c>
      <x:c r="C27" s="300" t="str">
        <x:v>Journey, custody and Case commands</x:v>
      </x:c>
      <x:c r="D27" s="300" t="str">
        <x:v>UI → Engine</x:v>
      </x:c>
      <x:c r="E27" s="300" t="str">
        <x:v>System validators + reducers</x:v>
      </x:c>
      <x:c r="F27" s="300" t="str">
        <x:v>Commit may spend time/change custody/record player knowledge</x:v>
      </x:c>
      <x:c r="G27" s="300" t="str">
        <x:v>mythic-ui-c2.yaml</x:v>
      </x:c>
      <x:c r="H27" s="300" t="str">
        <x:v>Claim recording never certifies truth</x:v>
      </x:c>
      <x:c r="I27" s="300" t="str">
        <x:v>Reviewed plan, authority and evidence refs required</x:v>
      </x:c>
      <x:c r="J27" s="300" t="str">
        <x:v>Travel and investigation remain player-directed</x:v>
      </x:c>
      <x:c r="K27" s="300" t="str">
        <x:v>Stale route, unavailable actor, invalid authority/evidence</x:v>
      </x:c>
      <x:c r="L27" s="300" t="str">
        <x:v>Structured roles, terms and claim basis</x:v>
      </x:c>
      <x:c r="M27" s="300" t="str">
        <x:v>TIM-004–005, KNO-001</x:v>
      </x:c>
      <x:c r="N27" s="300" t="str">
        <x:v>SCN-09–15</x:v>
      </x:c>
      <x:c r="O27" s="300" t="str">
        <x:v>CMP-30–34</x:v>
      </x:c>
      <x:c r="P27" s="300" t="str">
        <x:v>five command fixtures</x:v>
      </x:c>
      <x:c r="Q27" s="324" t="str">
        <x:v>Approved</x:v>
      </x:c>
    </x:row>
    <x:row r="28" ht="82" customHeight="1">
      <x:c r="A28" s="299" t="str">
        <x:v>C2-WORLD-007</x:v>
      </x:c>
      <x:c r="B28" s="299" t="str">
        <x:v>World</x:v>
      </x:c>
      <x:c r="C28" s="299" t="str">
        <x:v>journey_interval_resolved / world_record_updated</x:v>
      </x:c>
      <x:c r="D28" s="299" t="str">
        <x:v>Engine → UI</x:v>
      </x:c>
      <x:c r="E28" s="299" t="str">
        <x:v>World reducer/event stream</x:v>
      </x:c>
      <x:c r="F28" s="299" t="str">
        <x:v>Reflects committed world changes</x:v>
      </x:c>
      <x:c r="G28" s="299" t="str">
        <x:v>mythic-events-c2.yaml</x:v>
      </x:c>
      <x:c r="H28" s="299" t="str">
        <x:v>Accessible effects only; actual lost position remains engine-side</x:v>
      </x:c>
      <x:c r="I28" s="299" t="str">
        <x:v>Ordered event lineage routes to map, Site, Case and Chronicle</x:v>
      </x:c>
      <x:c r="J28" s="299" t="str">
        <x:v>Travel and environmental consequences persist</x:v>
      </x:c>
      <x:c r="K28" s="299" t="str">
        <x:v>Lost, closure, destruction, legal response</x:v>
      </x:c>
      <x:c r="L28" s="299" t="str">
        <x:v>Material pause/change announced</x:v>
      </x:c>
      <x:c r="M28" s="299" t="str">
        <x:v>TIM-001, KNO-001</x:v>
      </x:c>
      <x:c r="N28" s="299" t="str">
        <x:v>SCN-09–16</x:v>
      </x:c>
      <x:c r="O28" s="299" t="str">
        <x:v>CMP-38</x:v>
      </x:c>
      <x:c r="P28" s="299" t="str">
        <x:v>journey + world event fixtures</x:v>
      </x:c>
      <x:c r="Q28" s="324" t="str">
        <x:v>Approved</x:v>
      </x:c>
    </x:row>
    <x:row r="29" ht="82" customHeight="1">
      <x:c r="A29" s="300" t="str">
        <x:v>C2-CHRON-001</x:v>
      </x:c>
      <x:c r="B29" s="300" t="str">
        <x:v>Chronicle</x:v>
      </x:c>
      <x:c r="C29" s="300" t="str">
        <x:v>ChronicleConsequenceBundle</x:v>
      </x:c>
      <x:c r="D29" s="300" t="str">
        <x:v>Engine → UI</x:v>
      </x:c>
      <x:c r="E29" s="300" t="str">
        <x:v>Chronicle projection</x:v>
      </x:c>
      <x:c r="F29" s="300" t="str">
        <x:v>None</x:v>
      </x:c>
      <x:c r="G29" s="300" t="str">
        <x:v>chronicle-routing.schema.json</x:v>
      </x:c>
      <x:c r="H29" s="300" t="str">
        <x:v>One viewpoint-safe summary per surface from same source events</x:v>
      </x:c>
      <x:c r="I29" s="300" t="str">
        <x:v>Source event IDs and consequence links preserve lineage</x:v>
      </x:c>
      <x:c r="J29" s="300" t="str">
        <x:v>Character/Company/Holdings/World consequences stay coherent</x:v>
      </x:c>
      <x:c r="K29" s="300" t="str">
        <x:v>Withheld/private surfaces omitted, not guessed</x:v>
      </x:c>
      <x:c r="L29" s="300" t="str">
        <x:v>Summary plus navigable consequence links</x:v>
      </x:c>
      <x:c r="M29" s="300" t="str">
        <x:v>FND-007, KNO-001</x:v>
      </x:c>
      <x:c r="N29" s="300" t="str">
        <x:v>SCN-11, SCN-12, SCN-16</x:v>
      </x:c>
      <x:c r="O29" s="300" t="str">
        <x:v>CMP-11, CMP-34</x:v>
      </x:c>
      <x:c r="P29" s="300" t="str">
        <x:v>chronicle-consequence-bundle</x:v>
      </x:c>
      <x:c r="Q29" s="324" t="str">
        <x:v>Approved</x:v>
      </x:c>
    </x:row>
    <x:row r="30" ht="82" customHeight="1">
      <x:c r="A30" s="299" t="str">
        <x:v>C2-CHRON-002</x:v>
      </x:c>
      <x:c r="B30" s="299" t="str">
        <x:v>Chronicle</x:v>
      </x:c>
      <x:c r="C30" s="299" t="str">
        <x:v>chronicle_consequence_routed</x:v>
      </x:c>
      <x:c r="D30" s="299" t="str">
        <x:v>Engine → UI</x:v>
      </x:c>
      <x:c r="E30" s="299" t="str">
        <x:v>Projection router</x:v>
      </x:c>
      <x:c r="F30" s="299" t="str">
        <x:v>None</x:v>
      </x:c>
      <x:c r="G30" s="299" t="str">
        <x:v>mythic-events-c2.yaml</x:v>
      </x:c>
      <x:c r="H30" s="299" t="str">
        <x:v>Routes IDs and accessible projections, not hidden source payload</x:v>
      </x:c>
      <x:c r="I30" s="299" t="str">
        <x:v>One bundle per committed lineage/version</x:v>
      </x:c>
      <x:c r="J30" s="299" t="str">
        <x:v>All affected surfaces refresh from one causally consistent event</x:v>
      </x:c>
      <x:c r="K30" s="299" t="str">
        <x:v>Missing surface authorization; delayed projection</x:v>
      </x:c>
      <x:c r="L30" s="299" t="str">
        <x:v>Deduplicated log/status semantics</x:v>
      </x:c>
      <x:c r="M30" s="299" t="str">
        <x:v>TIM-001, ACC-003</x:v>
      </x:c>
      <x:c r="N30" s="299" t="str">
        <x:v>SCN-11, SCN-16</x:v>
      </x:c>
      <x:c r="O30" s="299" t="str">
        <x:v>CMP-38</x:v>
      </x:c>
      <x:c r="P30" s="299" t="str">
        <x:v>chronicle-routed-event</x:v>
      </x:c>
      <x:c r="Q30" s="324" t="str">
        <x:v>Approved</x:v>
      </x:c>
    </x:row>
    <x:row r="31" ht="82" customHeight="1">
      <x:c r="A31" s="300" t="str">
        <x:v>C2-API-001</x:v>
      </x:c>
      <x:c r="B31" s="300" t="str">
        <x:v>API</x:v>
      </x:c>
      <x:c r="C31" s="300" t="str">
        <x:v>25 synchronous reads and commands</x:v>
      </x:c>
      <x:c r="D31" s="300" t="str">
        <x:v>Bidirectional</x:v>
      </x:c>
      <x:c r="E31" s="300" t="str">
        <x:v>Contract gateway</x:v>
      </x:c>
      <x:c r="F31" s="300" t="str">
        <x:v>Only explicit commit operations may request mutation</x:v>
      </x:c>
      <x:c r="G31" s="300" t="str">
        <x:v>mythic-ui-c2.yaml</x:v>
      </x:c>
      <x:c r="H31" s="300" t="str">
        <x:v>All reads viewpoint-safe; all commands carry authority context</x:v>
      </x:c>
      <x:c r="I31" s="300" t="str">
        <x:v>C1 envelope + C2 payload schema</x:v>
      </x:c>
      <x:c r="J31" s="300" t="str">
        <x:v>All five product surfaces are addressable without chatbot endpoints</x:v>
      </x:c>
      <x:c r="K31" s="300" t="str">
        <x:v>409/422/refusal/unavailable/unknown recovery</x:v>
      </x:c>
      <x:c r="L31" s="300" t="str">
        <x:v>Response schemas carry semantic companions</x:v>
      </x:c>
      <x:c r="M31" s="300" t="str">
        <x:v>FND-001–006, TIM-005</x:v>
      </x:c>
      <x:c r="N31" s="300" t="str">
        <x:v>SCN-02–16</x:v>
      </x:c>
      <x:c r="O31" s="300" t="str">
        <x:v>CMP-19–38</x:v>
      </x:c>
      <x:c r="P31" s="300" t="str">
        <x:v>OpenAPI operation/ref validation</x:v>
      </x:c>
      <x:c r="Q31" s="324" t="str">
        <x:v>Approved</x:v>
      </x:c>
    </x:row>
    <x:row r="32" ht="82" customHeight="1">
      <x:c r="A32" s="299" t="str">
        <x:v>C2-ASYNC-001</x:v>
      </x:c>
      <x:c r="B32" s="299" t="str">
        <x:v>Event API</x:v>
      </x:c>
      <x:c r="C32" s="299" t="str">
        <x:v>9 system-breadth event messages</x:v>
      </x:c>
      <x:c r="D32" s="299" t="str">
        <x:v>Engine → UI</x:v>
      </x:c>
      <x:c r="E32" s="299" t="str">
        <x:v>Event stream</x:v>
      </x:c>
      <x:c r="F32" s="299" t="str">
        <x:v>Events report; reducers mutate</x:v>
      </x:c>
      <x:c r="G32" s="299" t="str">
        <x:v>mythic-events-c2.yaml</x:v>
      </x:c>
      <x:c r="H32" s="299" t="str">
        <x:v>Campaign/viewpoint scope and accessible payloads</x:v>
      </x:c>
      <x:c r="I32" s="299" t="str">
        <x:v>C1 event envelope orders correlation/causation</x:v>
      </x:c>
      <x:c r="J32" s="299" t="str">
        <x:v>All surfaces react coherently without polling or transcript UI</x:v>
      </x:c>
      <x:c r="K32" s="299" t="str">
        <x:v>Reconnect, delayed projection, constrained viewpoint</x:v>
      </x:c>
      <x:c r="L32" s="299" t="str">
        <x:v>Material state messages are semantic</x:v>
      </x:c>
      <x:c r="M32" s="299" t="str">
        <x:v>TIM-001, ACC-003</x:v>
      </x:c>
      <x:c r="N32" s="299" t="str">
        <x:v>SCN-02–16</x:v>
      </x:c>
      <x:c r="O32" s="299" t="str">
        <x:v>CMP-38</x:v>
      </x:c>
      <x:c r="P32" s="299" t="str">
        <x:v>AsyncAPI message/ref validation</x:v>
      </x:c>
      <x:c r="Q32" s="324" t="str">
        <x:v>Approved</x:v>
      </x:c>
    </x:row>
    <x:row r="33" ht="82" customHeight="1">
      <x:c r="A33" s="301" t="str">
        <x:v>C2-GEN-001</x:v>
      </x:c>
      <x:c r="B33" s="301" t="str">
        <x:v>Generation</x:v>
      </x:c>
      <x:c r="C33" s="301" t="str">
        <x:v>C1 + C2 generated-consumer policy</x:v>
      </x:c>
      <x:c r="D33" s="301" t="str">
        <x:v>Schema → consumers</x:v>
      </x:c>
      <x:c r="E33" s="301" t="str">
        <x:v>Build system (C4)</x:v>
      </x:c>
      <x:c r="F33" s="301" t="str">
        <x:v>None</x:v>
      </x:c>
      <x:c r="G33" s="301" t="str">
        <x:v>generation-policy.json</x:v>
      </x:c>
      <x:c r="H33" s="301" t="str">
        <x:v>Consumers cannot add hidden/private fields</x:v>
      </x:c>
      <x:c r="I33" s="301" t="str">
        <x:v>Generated output must match approved schema versions</x:v>
      </x:c>
      <x:c r="J33" s="301" t="str">
        <x:v>Static types and runtime validation derive from controlled schemas</x:v>
      </x:c>
      <x:c r="K33" s="301" t="str">
        <x:v>Drift fails CI after C4 tool selection</x:v>
      </x:c>
      <x:c r="L33" s="301" t="str">
        <x:v>Semantic data remains typed</x:v>
      </x:c>
      <x:c r="M33" s="301" t="str">
        <x:v>FND-003, ACC-003</x:v>
      </x:c>
      <x:c r="N33" s="301" t="str">
        <x:v>SCN-16</x:v>
      </x:c>
      <x:c r="O33" s="301" t="str">
        <x:v>CMP-19–40</x:v>
      </x:c>
      <x:c r="P33" s="301" t="str">
        <x:v>Policy + schema-ref validation</x:v>
      </x:c>
      <x:c r="Q33" s="325" t="str">
        <x:v>Approved</x:v>
      </x:c>
    </x:row>
  </x:sheetData>
  <x:mergeCells>
    <x:mergeCell ref="A1:Q1"/>
    <x:mergeCell ref="A2:Q2"/>
  </x:mergeCells>
  <x:dataValidations count="1">
    <x:dataValidation type="list" sqref="Q5:Q33">
      <x:formula1>"Candidate,Approved,Deferred"</x:formula1>
    </x:dataValidation>
  </x:dataValidations>
  <x:pageMargins left="0.7" right="0.7" top="0.75" bottom="0.75" header="0.3" footer="0.3"/>
  <x:tableParts count="1">
    <x:tablePart xmlns:r="http://schemas.openxmlformats.org/officeDocument/2006/relationships" r:id="R13890a98134b4e8e"/>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47" hidden="0" customWidth="1"/>
    <x:col min="2" max="2" width="12" hidden="0" customWidth="1"/>
    <x:col min="3" max="3" width="48" hidden="0" customWidth="1"/>
    <x:col min="4" max="4" width="31" hidden="0" customWidth="1"/>
    <x:col min="5" max="5" width="11" hidden="0" customWidth="1"/>
    <x:col min="6" max="6" width="29" hidden="0" customWidth="1"/>
    <x:col min="7" max="7" width="57" hidden="0" customWidth="1"/>
    <x:col min="8" max="8" width="42" hidden="0" customWidth="1"/>
  </x:cols>
  <x:sheetData>
    <x:row r="1">
      <x:c r="A1" s="255" t="str">
        <x:v>CHECKPOINT C2 • EXECUTABLE FIXTURE COVERAGE</x:v>
      </x:c>
      <x:c r="B1" s="255" t="str">
        <x:v>CHECKPOINT C2 • EXECUTABLE FIXTURE COVERAGE</x:v>
      </x:c>
      <x:c r="C1" s="255" t="str">
        <x:v>CHECKPOINT C2 • EXECUTABLE FIXTURE COVERAGE</x:v>
      </x:c>
      <x:c r="D1" s="255" t="str">
        <x:v>CHECKPOINT C2 • EXECUTABLE FIXTURE COVERAGE</x:v>
      </x:c>
      <x:c r="E1" s="255" t="str">
        <x:v>CHECKPOINT C2 • EXECUTABLE FIXTURE COVERAGE</x:v>
      </x:c>
      <x:c r="F1" s="255" t="str">
        <x:v>CHECKPOINT C2 • EXECUTABLE FIXTURE COVERAGE</x:v>
      </x:c>
      <x:c r="G1" s="255" t="str">
        <x:v>CHECKPOINT C2 • EXECUTABLE FIXTURE COVERAGE</x:v>
      </x:c>
      <x:c r="H1" s="255" t="str">
        <x:v>CHECKPOINT C2 • EXECUTABLE FIXTURE COVERAGE</x:v>
      </x:c>
    </x:row>
    <x:row r="2">
      <x:c r="A2" s="259" t="str">
        <x:v>43/43 gates passed • 34 public payloads validate and 9 prohibited payloads fail as designed</x:v>
      </x:c>
      <x:c r="B2" s="259" t="str">
        <x:v>43/43 gates passed • 34 public payloads validate and 9 prohibited payloads fail as designed</x:v>
      </x:c>
      <x:c r="C2" s="259" t="str">
        <x:v>43/43 gates passed • 34 public payloads validate and 9 prohibited payloads fail as designed</x:v>
      </x:c>
      <x:c r="D2" s="259" t="str">
        <x:v>43/43 gates passed • 34 public payloads validate and 9 prohibited payloads fail as designed</x:v>
      </x:c>
      <x:c r="E2" s="259" t="str">
        <x:v>43/43 gates passed • 34 public payloads validate and 9 prohibited payloads fail as designed</x:v>
      </x:c>
      <x:c r="F2" s="259" t="str">
        <x:v>43/43 gates passed • 34 public payloads validate and 9 prohibited payloads fail as designed</x:v>
      </x:c>
      <x:c r="G2" s="259" t="str">
        <x:v>43/43 gates passed • 34 public payloads validate and 9 prohibited payloads fail as designed</x:v>
      </x:c>
      <x:c r="H2" s="259" t="str">
        <x:v>43/43 gates passed • 34 public payloads validate and 9 prohibited payloads fail as designed</x:v>
      </x:c>
    </x:row>
    <x:row r="4">
      <x:c r="A4" s="296" t="str">
        <x:v>Fixture</x:v>
      </x:c>
      <x:c r="B4" s="297" t="str">
        <x:v>Expected</x:v>
      </x:c>
      <x:c r="C4" s="297" t="str">
        <x:v>Schema / Definition</x:v>
      </x:c>
      <x:c r="D4" s="297" t="str">
        <x:v>Coverage</x:v>
      </x:c>
      <x:c r="E4" s="297" t="str">
        <x:v>Result</x:v>
      </x:c>
      <x:c r="F4" s="297" t="str">
        <x:v>System / Safety Branch</x:v>
      </x:c>
      <x:c r="G4" s="297" t="str">
        <x:v>Contract Assertion</x:v>
      </x:c>
      <x:c r="H4" s="298" t="str">
        <x:v>Validation Evidence</x:v>
      </x:c>
    </x:row>
    <x:row r="5" ht="62" customHeight="1">
      <x:c r="A5" s="276" t="str">
        <x:v>positive/character-ordinary-survivor.json</x:v>
      </x:c>
      <x:c r="B5" s="276" t="str">
        <x:v>VALID</x:v>
      </x:c>
      <x:c r="C5" s="276" t="str">
        <x:v>read-models/character-continuation.schema.json #/$defs/CharacterRecord</x:v>
      </x:c>
      <x:c r="D5" s="276" t="str">
        <x:v>SCN-02, SCN-03, FND-005</x:v>
      </x:c>
      <x:c r="E5" s="245" t="str">
        <x:v>PASS</x:v>
      </x:c>
      <x:c r="F5" s="276" t="str">
        <x:v>Character / progression</x:v>
      </x:c>
      <x:c r="G5" s="276" t="str">
        <x:v>Payload validates against the authority, knowledge, state and consequence-routing contract for its branch.</x:v>
      </x:c>
      <x:c r="H5" s="276" t="str">
        <x:v>Validated with no forbidden public keys</x:v>
      </x:c>
    </x:row>
    <x:row r="6" ht="62" customHeight="1">
      <x:c r="A6" s="299" t="str">
        <x:v>positive/advancement-draft.json</x:v>
      </x:c>
      <x:c r="B6" s="299" t="str">
        <x:v>VALID</x:v>
      </x:c>
      <x:c r="C6" s="299" t="str">
        <x:v>read-models/character-continuation.schema.json #/$defs/AdvancementDraft</x:v>
      </x:c>
      <x:c r="D6" s="299" t="str">
        <x:v>SCN-02, TIM-005, FND-003</x:v>
      </x:c>
      <x:c r="E6" s="246" t="str">
        <x:v>PASS</x:v>
      </x:c>
      <x:c r="F6" s="299" t="str">
        <x:v>Character / progression</x:v>
      </x:c>
      <x:c r="G6" s="299" t="str">
        <x:v>Payload validates against the authority, knowledge, state and consequence-routing contract for its branch.</x:v>
      </x:c>
      <x:c r="H6" s="299" t="str">
        <x:v>Validated with no forbidden public keys</x:v>
      </x:c>
    </x:row>
    <x:row r="7" ht="62" customHeight="1">
      <x:c r="A7" s="300" t="str">
        <x:v>positive/continuation-afterlife.json</x:v>
      </x:c>
      <x:c r="B7" s="300" t="str">
        <x:v>VALID</x:v>
      </x:c>
      <x:c r="C7" s="300" t="str">
        <x:v>read-models/character-continuation.schema.json #/$defs/ContinuationState</x:v>
      </x:c>
      <x:c r="D7" s="300" t="str">
        <x:v>SCN-03, SCN-06, FND-006</x:v>
      </x:c>
      <x:c r="E7" s="246" t="str">
        <x:v>PASS</x:v>
      </x:c>
      <x:c r="F7" s="300" t="str">
        <x:v>Defeat / continuation</x:v>
      </x:c>
      <x:c r="G7" s="300" t="str">
        <x:v>Payload validates against the authority, knowledge, state and consequence-routing contract for its branch.</x:v>
      </x:c>
      <x:c r="H7" s="300" t="str">
        <x:v>Validated with no forbidden public keys</x:v>
      </x:c>
    </x:row>
    <x:row r="8" ht="62" customHeight="1">
      <x:c r="A8" s="299" t="str">
        <x:v>positive/company-record.json</x:v>
      </x:c>
      <x:c r="B8" s="299" t="str">
        <x:v>VALID</x:v>
      </x:c>
      <x:c r="C8" s="299" t="str">
        <x:v>read-models/company-relics.schema.json #/$defs/CompanyRecord</x:v>
      </x:c>
      <x:c r="D8" s="299" t="str">
        <x:v>SCN-07, PTY-001</x:v>
      </x:c>
      <x:c r="E8" s="246" t="str">
        <x:v>PASS</x:v>
      </x:c>
      <x:c r="F8" s="299" t="str">
        <x:v>System breadth</x:v>
      </x:c>
      <x:c r="G8" s="299" t="str">
        <x:v>Payload validates against the authority, knowledge, state and consequence-routing contract for its branch.</x:v>
      </x:c>
      <x:c r="H8" s="299" t="str">
        <x:v>Validated with no forbidden public keys</x:v>
      </x:c>
    </x:row>
    <x:row r="9" ht="62" customHeight="1">
      <x:c r="A9" s="300" t="str">
        <x:v>positive/autonomous-actor-refusal.json</x:v>
      </x:c>
      <x:c r="B9" s="300" t="str">
        <x:v>VALID</x:v>
      </x:c>
      <x:c r="C9" s="300" t="str">
        <x:v>read-models/company-relics.schema.json #/$defs/AutonomousActorStatus</x:v>
      </x:c>
      <x:c r="D9" s="300" t="str">
        <x:v>SCN-07, SCN-08, PTY-003</x:v>
      </x:c>
      <x:c r="E9" s="246" t="str">
        <x:v>PASS</x:v>
      </x:c>
      <x:c r="F9" s="300" t="str">
        <x:v>Autonomy / recruitment</x:v>
      </x:c>
      <x:c r="G9" s="300" t="str">
        <x:v>Payload validates against the authority, knowledge, state and consequence-routing contract for its branch.</x:v>
      </x:c>
      <x:c r="H9" s="300" t="str">
        <x:v>Validated with no forbidden public keys</x:v>
      </x:c>
    </x:row>
    <x:row r="10" ht="62" customHeight="1">
      <x:c r="A10" s="299" t="str">
        <x:v>positive/relic-record.json</x:v>
      </x:c>
      <x:c r="B10" s="299" t="str">
        <x:v>VALID</x:v>
      </x:c>
      <x:c r="C10" s="299" t="str">
        <x:v>read-models/company-relics.schema.json #/$defs/RelicRecord</x:v>
      </x:c>
      <x:c r="D10" s="299" t="str">
        <x:v>SCN-08, SCN-12, KNO-001</x:v>
      </x:c>
      <x:c r="E10" s="246" t="str">
        <x:v>PASS</x:v>
      </x:c>
      <x:c r="F10" s="299" t="str">
        <x:v>Relic agency / access</x:v>
      </x:c>
      <x:c r="G10" s="299" t="str">
        <x:v>Payload validates against the authority, knowledge, state and consequence-routing contract for its branch.</x:v>
      </x:c>
      <x:c r="H10" s="299" t="str">
        <x:v>Validated with no forbidden public keys</x:v>
      </x:c>
    </x:row>
    <x:row r="11" ht="62" customHeight="1">
      <x:c r="A11" s="300" t="str">
        <x:v>positive/holdings-record.json</x:v>
      </x:c>
      <x:c r="B11" s="300" t="str">
        <x:v>VALID</x:v>
      </x:c>
      <x:c r="C11" s="300" t="str">
        <x:v>read-models/holdings-projects.schema.json #/$defs/HoldingsRecord</x:v>
      </x:c>
      <x:c r="D11" s="300" t="str">
        <x:v>SCN-12, SCN-13</x:v>
      </x:c>
      <x:c r="E11" s="246" t="str">
        <x:v>PASS</x:v>
      </x:c>
      <x:c r="F11" s="300" t="str">
        <x:v>Custody / ownership</x:v>
      </x:c>
      <x:c r="G11" s="300" t="str">
        <x:v>Payload validates against the authority, knowledge, state and consequence-routing contract for its branch.</x:v>
      </x:c>
      <x:c r="H11" s="300" t="str">
        <x:v>Validated with no forbidden public keys</x:v>
      </x:c>
    </x:row>
    <x:row r="12" ht="62" customHeight="1">
      <x:c r="A12" s="299" t="str">
        <x:v>positive/project-record.json</x:v>
      </x:c>
      <x:c r="B12" s="299" t="str">
        <x:v>VALID</x:v>
      </x:c>
      <x:c r="C12" s="299" t="str">
        <x:v>read-models/holdings-projects.schema.json #/$defs/ProjectRecord</x:v>
      </x:c>
      <x:c r="D12" s="299" t="str">
        <x:v>SCN-13, TIM-004</x:v>
      </x:c>
      <x:c r="E12" s="246" t="str">
        <x:v>PASS</x:v>
      </x:c>
      <x:c r="F12" s="299" t="str">
        <x:v>Project checkpoint</x:v>
      </x:c>
      <x:c r="G12" s="299" t="str">
        <x:v>Payload validates against the authority, knowledge, state and consequence-routing contract for its branch.</x:v>
      </x:c>
      <x:c r="H12" s="299" t="str">
        <x:v>Validated with no forbidden public keys</x:v>
      </x:c>
    </x:row>
    <x:row r="13" ht="62" customHeight="1">
      <x:c r="A13" s="300" t="str">
        <x:v>positive/known-world-map.json</x:v>
      </x:c>
      <x:c r="B13" s="300" t="str">
        <x:v>VALID</x:v>
      </x:c>
      <x:c r="C13" s="300" t="str">
        <x:v>read-models/world-investigation.schema.json #/$defs/KnownWorldMap</x:v>
      </x:c>
      <x:c r="D13" s="300" t="str">
        <x:v>SCN-09, SCN-10, KNO-001</x:v>
      </x:c>
      <x:c r="E13" s="246" t="str">
        <x:v>PASS</x:v>
      </x:c>
      <x:c r="F13" s="300" t="str">
        <x:v>Travel / known world</x:v>
      </x:c>
      <x:c r="G13" s="300" t="str">
        <x:v>Payload validates against the authority, knowledge, state and consequence-routing contract for its branch.</x:v>
      </x:c>
      <x:c r="H13" s="300" t="str">
        <x:v>Validated with no forbidden public keys</x:v>
      </x:c>
    </x:row>
    <x:row r="14" ht="62" customHeight="1">
      <x:c r="A14" s="299" t="str">
        <x:v>positive/journey-lost.json</x:v>
      </x:c>
      <x:c r="B14" s="299" t="str">
        <x:v>VALID</x:v>
      </x:c>
      <x:c r="C14" s="299" t="str">
        <x:v>read-models/world-investigation.schema.json #/$defs/JourneyState</x:v>
      </x:c>
      <x:c r="D14" s="299" t="str">
        <x:v>SCN-09, TIM-004</x:v>
      </x:c>
      <x:c r="E14" s="246" t="str">
        <x:v>PASS</x:v>
      </x:c>
      <x:c r="F14" s="299" t="str">
        <x:v>Travel / known world</x:v>
      </x:c>
      <x:c r="G14" s="299" t="str">
        <x:v>Payload validates against the authority, knowledge, state and consequence-routing contract for its branch.</x:v>
      </x:c>
      <x:c r="H14" s="299" t="str">
        <x:v>Validated with no forbidden public keys</x:v>
      </x:c>
    </x:row>
    <x:row r="15" ht="62" customHeight="1">
      <x:c r="A15" s="300" t="str">
        <x:v>positive/site-persistent-breach.json</x:v>
      </x:c>
      <x:c r="B15" s="300" t="str">
        <x:v>VALID</x:v>
      </x:c>
      <x:c r="C15" s="300" t="str">
        <x:v>read-models/world-investigation.schema.json #/$defs/SiteRecord</x:v>
      </x:c>
      <x:c r="D15" s="300" t="str">
        <x:v>SCN-10, SCN-11, BRK-006</x:v>
      </x:c>
      <x:c r="E15" s="246" t="str">
        <x:v>PASS</x:v>
      </x:c>
      <x:c r="F15" s="300" t="str">
        <x:v>Site persistence / knowledge</x:v>
      </x:c>
      <x:c r="G15" s="300" t="str">
        <x:v>Payload validates against the authority, knowledge, state and consequence-routing contract for its branch.</x:v>
      </x:c>
      <x:c r="H15" s="300" t="str">
        <x:v>Validated with no forbidden public keys</x:v>
      </x:c>
    </x:row>
    <x:row r="16" ht="62" customHeight="1">
      <x:c r="A16" s="299" t="str">
        <x:v>positive/case-record.json</x:v>
      </x:c>
      <x:c r="B16" s="299" t="str">
        <x:v>VALID</x:v>
      </x:c>
      <x:c r="C16" s="299" t="str">
        <x:v>read-models/world-investigation.schema.json #/$defs/CaseRecord</x:v>
      </x:c>
      <x:c r="D16" s="299" t="str">
        <x:v>SCN-09, SCN-10, KNO-001</x:v>
      </x:c>
      <x:c r="E16" s="246" t="str">
        <x:v>PASS</x:v>
      </x:c>
      <x:c r="F16" s="299" t="str">
        <x:v>Evidence / Case Graph</x:v>
      </x:c>
      <x:c r="G16" s="299" t="str">
        <x:v>Payload validates against the authority, knowledge, state and consequence-routing contract for its branch.</x:v>
      </x:c>
      <x:c r="H16" s="299" t="str">
        <x:v>Validated with no forbidden public keys</x:v>
      </x:c>
    </x:row>
    <x:row r="17" ht="62" customHeight="1">
      <x:c r="A17" s="300" t="str">
        <x:v>positive/front-legal-record.json</x:v>
      </x:c>
      <x:c r="B17" s="300" t="str">
        <x:v>VALID</x:v>
      </x:c>
      <x:c r="C17" s="300" t="str">
        <x:v>read-models/world-investigation.schema.json #/$defs/FactionFrontLegalRecord</x:v>
      </x:c>
      <x:c r="D17" s="300" t="str">
        <x:v>SCN-14, SCN-15, SCN-16</x:v>
      </x:c>
      <x:c r="E17" s="246" t="str">
        <x:v>PASS</x:v>
      </x:c>
      <x:c r="F17" s="300" t="str">
        <x:v>Fronts / law / response tracks</x:v>
      </x:c>
      <x:c r="G17" s="300" t="str">
        <x:v>Payload validates against the authority, knowledge, state and consequence-routing contract for its branch.</x:v>
      </x:c>
      <x:c r="H17" s="300" t="str">
        <x:v>Validated with no forbidden public keys</x:v>
      </x:c>
    </x:row>
    <x:row r="18" ht="62" customHeight="1">
      <x:c r="A18" s="299" t="str">
        <x:v>positive/chronicle-consequence-bundle.json</x:v>
      </x:c>
      <x:c r="B18" s="299" t="str">
        <x:v>VALID</x:v>
      </x:c>
      <x:c r="C18" s="299" t="str">
        <x:v>read-models/chronicle-routing.schema.json #/$defs/ChronicleConsequenceBundle</x:v>
      </x:c>
      <x:c r="D18" s="299" t="str">
        <x:v>SCN-11, SCN-12, SCN-16</x:v>
      </x:c>
      <x:c r="E18" s="246" t="str">
        <x:v>PASS</x:v>
      </x:c>
      <x:c r="F18" s="299" t="str">
        <x:v>Cross-surface routing</x:v>
      </x:c>
      <x:c r="G18" s="299" t="str">
        <x:v>Payload validates against the authority, knowledge, state and consequence-routing contract for its branch.</x:v>
      </x:c>
      <x:c r="H18" s="299" t="str">
        <x:v>Validated with no forbidden public keys</x:v>
      </x:c>
    </x:row>
    <x:row r="19" ht="62" customHeight="1">
      <x:c r="A19" s="300" t="str">
        <x:v>positive/draft-advancement-command.json</x:v>
      </x:c>
      <x:c r="B19" s="300" t="str">
        <x:v>VALID</x:v>
      </x:c>
      <x:c r="C19" s="300" t="str">
        <x:v>commands/system-breadth.schema.json #/$defs/DraftAdvancement</x:v>
      </x:c>
      <x:c r="D19" s="300" t="str">
        <x:v>SCN-02, FND-003</x:v>
      </x:c>
      <x:c r="E19" s="246" t="str">
        <x:v>PASS</x:v>
      </x:c>
      <x:c r="F19" s="300" t="str">
        <x:v>Character / progression</x:v>
      </x:c>
      <x:c r="G19" s="300" t="str">
        <x:v>Payload validates against the authority, knowledge, state and consequence-routing contract for its branch.</x:v>
      </x:c>
      <x:c r="H19" s="300" t="str">
        <x:v>Validated with no forbidden public keys</x:v>
      </x:c>
    </x:row>
    <x:row r="20" ht="62" customHeight="1">
      <x:c r="A20" s="299" t="str">
        <x:v>positive/commit-advancement-command.json</x:v>
      </x:c>
      <x:c r="B20" s="299" t="str">
        <x:v>VALID</x:v>
      </x:c>
      <x:c r="C20" s="299" t="str">
        <x:v>commands/system-breadth.schema.json #/$defs/CommitAdvancement</x:v>
      </x:c>
      <x:c r="D20" s="299" t="str">
        <x:v>SCN-02, TIM-005</x:v>
      </x:c>
      <x:c r="E20" s="246" t="str">
        <x:v>PASS</x:v>
      </x:c>
      <x:c r="F20" s="299" t="str">
        <x:v>Character / progression</x:v>
      </x:c>
      <x:c r="G20" s="299" t="str">
        <x:v>Payload validates against the authority, knowledge, state and consequence-routing contract for its branch.</x:v>
      </x:c>
      <x:c r="H20" s="299" t="str">
        <x:v>Validated with no forbidden public keys</x:v>
      </x:c>
    </x:row>
    <x:row r="21" ht="62" customHeight="1">
      <x:c r="A21" s="300" t="str">
        <x:v>positive/recruitment-offer-command.json</x:v>
      </x:c>
      <x:c r="B21" s="300" t="str">
        <x:v>VALID</x:v>
      </x:c>
      <x:c r="C21" s="300" t="str">
        <x:v>commands/system-breadth.schema.json #/$defs/SubmitRecruitmentOffer</x:v>
      </x:c>
      <x:c r="D21" s="300" t="str">
        <x:v>SCN-07, PTY-003</x:v>
      </x:c>
      <x:c r="E21" s="246" t="str">
        <x:v>PASS</x:v>
      </x:c>
      <x:c r="F21" s="300" t="str">
        <x:v>Autonomy / recruitment</x:v>
      </x:c>
      <x:c r="G21" s="300" t="str">
        <x:v>Payload validates against the authority, knowledge, state and consequence-routing contract for its branch.</x:v>
      </x:c>
      <x:c r="H21" s="300" t="str">
        <x:v>Validated with no forbidden public keys</x:v>
      </x:c>
    </x:row>
    <x:row r="22" ht="62" customHeight="1">
      <x:c r="A22" s="299" t="str">
        <x:v>positive/autonomous-action-command.json</x:v>
      </x:c>
      <x:c r="B22" s="299" t="str">
        <x:v>VALID</x:v>
      </x:c>
      <x:c r="C22" s="299" t="str">
        <x:v>commands/system-breadth.schema.json #/$defs/RequestAutonomousActorAction</x:v>
      </x:c>
      <x:c r="D22" s="299" t="str">
        <x:v>SCN-07, SCN-08</x:v>
      </x:c>
      <x:c r="E22" s="246" t="str">
        <x:v>PASS</x:v>
      </x:c>
      <x:c r="F22" s="299" t="str">
        <x:v>System breadth</x:v>
      </x:c>
      <x:c r="G22" s="299" t="str">
        <x:v>Payload validates against the authority, knowledge, state and consequence-routing contract for its branch.</x:v>
      </x:c>
      <x:c r="H22" s="299" t="str">
        <x:v>Validated with no forbidden public keys</x:v>
      </x:c>
    </x:row>
    <x:row r="23" ht="62" customHeight="1">
      <x:c r="A23" s="300" t="str">
        <x:v>positive/draft-journey-command.json</x:v>
      </x:c>
      <x:c r="B23" s="300" t="str">
        <x:v>VALID</x:v>
      </x:c>
      <x:c r="C23" s="300" t="str">
        <x:v>commands/system-breadth.schema.json #/$defs/DraftJourney</x:v>
      </x:c>
      <x:c r="D23" s="300" t="str">
        <x:v>SCN-09, FND-003</x:v>
      </x:c>
      <x:c r="E23" s="246" t="str">
        <x:v>PASS</x:v>
      </x:c>
      <x:c r="F23" s="300" t="str">
        <x:v>Travel / known world</x:v>
      </x:c>
      <x:c r="G23" s="300" t="str">
        <x:v>Payload validates against the authority, knowledge, state and consequence-routing contract for its branch.</x:v>
      </x:c>
      <x:c r="H23" s="300" t="str">
        <x:v>Validated with no forbidden public keys</x:v>
      </x:c>
    </x:row>
    <x:row r="24" ht="62" customHeight="1">
      <x:c r="A24" s="299" t="str">
        <x:v>positive/commit-journey-command.json</x:v>
      </x:c>
      <x:c r="B24" s="299" t="str">
        <x:v>VALID</x:v>
      </x:c>
      <x:c r="C24" s="299" t="str">
        <x:v>commands/system-breadth.schema.json #/$defs/CommitJourneyLeg</x:v>
      </x:c>
      <x:c r="D24" s="299" t="str">
        <x:v>SCN-09, TIM-005</x:v>
      </x:c>
      <x:c r="E24" s="246" t="str">
        <x:v>PASS</x:v>
      </x:c>
      <x:c r="F24" s="299" t="str">
        <x:v>Travel / known world</x:v>
      </x:c>
      <x:c r="G24" s="299" t="str">
        <x:v>Payload validates against the authority, knowledge, state and consequence-routing contract for its branch.</x:v>
      </x:c>
      <x:c r="H24" s="299" t="str">
        <x:v>Validated with no forbidden public keys</x:v>
      </x:c>
    </x:row>
    <x:row r="25" ht="62" customHeight="1">
      <x:c r="A25" s="300" t="str">
        <x:v>positive/draft-project-command.json</x:v>
      </x:c>
      <x:c r="B25" s="300" t="str">
        <x:v>VALID</x:v>
      </x:c>
      <x:c r="C25" s="300" t="str">
        <x:v>commands/system-breadth.schema.json #/$defs/DraftProjectInterval</x:v>
      </x:c>
      <x:c r="D25" s="300" t="str">
        <x:v>SCN-13, FND-003</x:v>
      </x:c>
      <x:c r="E25" s="246" t="str">
        <x:v>PASS</x:v>
      </x:c>
      <x:c r="F25" s="300" t="str">
        <x:v>Project checkpoint</x:v>
      </x:c>
      <x:c r="G25" s="300" t="str">
        <x:v>Payload validates against the authority, knowledge, state and consequence-routing contract for its branch.</x:v>
      </x:c>
      <x:c r="H25" s="300" t="str">
        <x:v>Validated with no forbidden public keys</x:v>
      </x:c>
    </x:row>
    <x:row r="26" ht="62" customHeight="1">
      <x:c r="A26" s="299" t="str">
        <x:v>positive/commit-project-command.json</x:v>
      </x:c>
      <x:c r="B26" s="299" t="str">
        <x:v>VALID</x:v>
      </x:c>
      <x:c r="C26" s="299" t="str">
        <x:v>commands/system-breadth.schema.json #/$defs/CommitProjectInterval</x:v>
      </x:c>
      <x:c r="D26" s="299" t="str">
        <x:v>SCN-13, TIM-005</x:v>
      </x:c>
      <x:c r="E26" s="246" t="str">
        <x:v>PASS</x:v>
      </x:c>
      <x:c r="F26" s="299" t="str">
        <x:v>Project checkpoint</x:v>
      </x:c>
      <x:c r="G26" s="299" t="str">
        <x:v>Payload validates against the authority, knowledge, state and consequence-routing contract for its branch.</x:v>
      </x:c>
      <x:c r="H26" s="299" t="str">
        <x:v>Validated with no forbidden public keys</x:v>
      </x:c>
    </x:row>
    <x:row r="27" ht="62" customHeight="1">
      <x:c r="A27" s="300" t="str">
        <x:v>positive/transfer-custody-command.json</x:v>
      </x:c>
      <x:c r="B27" s="300" t="str">
        <x:v>VALID</x:v>
      </x:c>
      <x:c r="C27" s="300" t="str">
        <x:v>commands/system-breadth.schema.json #/$defs/TransferCustody</x:v>
      </x:c>
      <x:c r="D27" s="300" t="str">
        <x:v>SCN-12, SCN-15</x:v>
      </x:c>
      <x:c r="E27" s="246" t="str">
        <x:v>PASS</x:v>
      </x:c>
      <x:c r="F27" s="300" t="str">
        <x:v>Custody / ownership</x:v>
      </x:c>
      <x:c r="G27" s="300" t="str">
        <x:v>Payload validates against the authority, knowledge, state and consequence-routing contract for its branch.</x:v>
      </x:c>
      <x:c r="H27" s="300" t="str">
        <x:v>Validated with no forbidden public keys</x:v>
      </x:c>
    </x:row>
    <x:row r="28" ht="62" customHeight="1">
      <x:c r="A28" s="299" t="str">
        <x:v>positive/record-case-claim-command.json</x:v>
      </x:c>
      <x:c r="B28" s="299" t="str">
        <x:v>VALID</x:v>
      </x:c>
      <x:c r="C28" s="299" t="str">
        <x:v>commands/system-breadth.schema.json #/$defs/RecordCaseClaim</x:v>
      </x:c>
      <x:c r="D28" s="299" t="str">
        <x:v>SCN-10, KNO-001</x:v>
      </x:c>
      <x:c r="E28" s="246" t="str">
        <x:v>PASS</x:v>
      </x:c>
      <x:c r="F28" s="299" t="str">
        <x:v>Evidence / Case Graph</x:v>
      </x:c>
      <x:c r="G28" s="299" t="str">
        <x:v>Payload validates against the authority, knowledge, state and consequence-routing contract for its branch.</x:v>
      </x:c>
      <x:c r="H28" s="299" t="str">
        <x:v>Validated with no forbidden public keys</x:v>
      </x:c>
    </x:row>
    <x:row r="29" ht="62" customHeight="1">
      <x:c r="A29" s="300" t="str">
        <x:v>positive/choose-continuation-command.json</x:v>
      </x:c>
      <x:c r="B29" s="300" t="str">
        <x:v>VALID</x:v>
      </x:c>
      <x:c r="C29" s="300" t="str">
        <x:v>commands/system-breadth.schema.json #/$defs/ChooseContinuation</x:v>
      </x:c>
      <x:c r="D29" s="300" t="str">
        <x:v>SCN-03, SCN-06</x:v>
      </x:c>
      <x:c r="E29" s="246" t="str">
        <x:v>PASS</x:v>
      </x:c>
      <x:c r="F29" s="300" t="str">
        <x:v>Defeat / continuation</x:v>
      </x:c>
      <x:c r="G29" s="300" t="str">
        <x:v>Payload validates against the authority, knowledge, state and consequence-routing contract for its branch.</x:v>
      </x:c>
      <x:c r="H29" s="300" t="str">
        <x:v>Validated with no forbidden public keys</x:v>
      </x:c>
    </x:row>
    <x:row r="30" ht="62" customHeight="1">
      <x:c r="A30" s="299" t="str">
        <x:v>positive/progression-committed-event.json</x:v>
      </x:c>
      <x:c r="B30" s="299" t="str">
        <x:v>VALID</x:v>
      </x:c>
      <x:c r="C30" s="299" t="str">
        <x:v>events/system-breadth.schema.json #/$defs/ProgressionCommitted</x:v>
      </x:c>
      <x:c r="D30" s="299" t="str">
        <x:v>SCN-02, TIM-005</x:v>
      </x:c>
      <x:c r="E30" s="246" t="str">
        <x:v>PASS</x:v>
      </x:c>
      <x:c r="F30" s="299" t="str">
        <x:v>Character / progression</x:v>
      </x:c>
      <x:c r="G30" s="299" t="str">
        <x:v>Payload validates against the authority, knowledge, state and consequence-routing contract for its branch.</x:v>
      </x:c>
      <x:c r="H30" s="299" t="str">
        <x:v>Validated with no forbidden public keys</x:v>
      </x:c>
    </x:row>
    <x:row r="31" ht="62" customHeight="1">
      <x:c r="A31" s="300" t="str">
        <x:v>positive/continuation-changed-event.json</x:v>
      </x:c>
      <x:c r="B31" s="300" t="str">
        <x:v>VALID</x:v>
      </x:c>
      <x:c r="C31" s="300" t="str">
        <x:v>events/system-breadth.schema.json #/$defs/DefeatContinuationChanged</x:v>
      </x:c>
      <x:c r="D31" s="300" t="str">
        <x:v>SCN-03, SCN-06</x:v>
      </x:c>
      <x:c r="E31" s="246" t="str">
        <x:v>PASS</x:v>
      </x:c>
      <x:c r="F31" s="300" t="str">
        <x:v>Defeat / continuation</x:v>
      </x:c>
      <x:c r="G31" s="300" t="str">
        <x:v>Payload validates against the authority, knowledge, state and consequence-routing contract for its branch.</x:v>
      </x:c>
      <x:c r="H31" s="300" t="str">
        <x:v>Validated with no forbidden public keys</x:v>
      </x:c>
    </x:row>
    <x:row r="32" ht="62" customHeight="1">
      <x:c r="A32" s="299" t="str">
        <x:v>positive/actor-refused-event.json</x:v>
      </x:c>
      <x:c r="B32" s="299" t="str">
        <x:v>VALID</x:v>
      </x:c>
      <x:c r="C32" s="299" t="str">
        <x:v>events/system-breadth.schema.json #/$defs/AutonomousActorStatusChanged</x:v>
      </x:c>
      <x:c r="D32" s="299" t="str">
        <x:v>SCN-07, SCN-08</x:v>
      </x:c>
      <x:c r="E32" s="246" t="str">
        <x:v>PASS</x:v>
      </x:c>
      <x:c r="F32" s="299" t="str">
        <x:v>Autonomy / recruitment</x:v>
      </x:c>
      <x:c r="G32" s="299" t="str">
        <x:v>Payload validates against the authority, knowledge, state and consequence-routing contract for its branch.</x:v>
      </x:c>
      <x:c r="H32" s="299" t="str">
        <x:v>Validated with no forbidden public keys</x:v>
      </x:c>
    </x:row>
    <x:row r="33" ht="62" customHeight="1">
      <x:c r="A33" s="300" t="str">
        <x:v>positive/relic-status-event.json</x:v>
      </x:c>
      <x:c r="B33" s="300" t="str">
        <x:v>VALID</x:v>
      </x:c>
      <x:c r="C33" s="300" t="str">
        <x:v>events/system-breadth.schema.json #/$defs/RelicStatusChanged</x:v>
      </x:c>
      <x:c r="D33" s="300" t="str">
        <x:v>SCN-08, SCN-12</x:v>
      </x:c>
      <x:c r="E33" s="246" t="str">
        <x:v>PASS</x:v>
      </x:c>
      <x:c r="F33" s="300" t="str">
        <x:v>Relic agency / access</x:v>
      </x:c>
      <x:c r="G33" s="300" t="str">
        <x:v>Payload validates against the authority, knowledge, state and consequence-routing contract for its branch.</x:v>
      </x:c>
      <x:c r="H33" s="300" t="str">
        <x:v>Validated with no forbidden public keys</x:v>
      </x:c>
    </x:row>
    <x:row r="34" ht="62" customHeight="1">
      <x:c r="A34" s="299" t="str">
        <x:v>positive/custody-transfer-event.json</x:v>
      </x:c>
      <x:c r="B34" s="299" t="str">
        <x:v>VALID</x:v>
      </x:c>
      <x:c r="C34" s="299" t="str">
        <x:v>events/system-breadth.schema.json #/$defs/CustodyTransferred</x:v>
      </x:c>
      <x:c r="D34" s="299" t="str">
        <x:v>SCN-12, SCN-15</x:v>
      </x:c>
      <x:c r="E34" s="246" t="str">
        <x:v>PASS</x:v>
      </x:c>
      <x:c r="F34" s="299" t="str">
        <x:v>Custody / ownership</x:v>
      </x:c>
      <x:c r="G34" s="299" t="str">
        <x:v>Payload validates against the authority, knowledge, state and consequence-routing contract for its branch.</x:v>
      </x:c>
      <x:c r="H34" s="299" t="str">
        <x:v>Validated with no forbidden public keys</x:v>
      </x:c>
    </x:row>
    <x:row r="35" ht="62" customHeight="1">
      <x:c r="A35" s="300" t="str">
        <x:v>positive/project-checkpoint-event.json</x:v>
      </x:c>
      <x:c r="B35" s="300" t="str">
        <x:v>VALID</x:v>
      </x:c>
      <x:c r="C35" s="300" t="str">
        <x:v>events/system-breadth.schema.json #/$defs/ProjectCheckpointReached</x:v>
      </x:c>
      <x:c r="D35" s="300" t="str">
        <x:v>SCN-13, TIM-004</x:v>
      </x:c>
      <x:c r="E35" s="246" t="str">
        <x:v>PASS</x:v>
      </x:c>
      <x:c r="F35" s="300" t="str">
        <x:v>Project checkpoint</x:v>
      </x:c>
      <x:c r="G35" s="300" t="str">
        <x:v>Payload validates against the authority, knowledge, state and consequence-routing contract for its branch.</x:v>
      </x:c>
      <x:c r="H35" s="300" t="str">
        <x:v>Validated with no forbidden public keys</x:v>
      </x:c>
    </x:row>
    <x:row r="36" ht="62" customHeight="1">
      <x:c r="A36" s="299" t="str">
        <x:v>positive/journey-resolved-event.json</x:v>
      </x:c>
      <x:c r="B36" s="299" t="str">
        <x:v>VALID</x:v>
      </x:c>
      <x:c r="C36" s="299" t="str">
        <x:v>events/system-breadth.schema.json #/$defs/JourneyIntervalResolved</x:v>
      </x:c>
      <x:c r="D36" s="299" t="str">
        <x:v>SCN-09, TIM-004</x:v>
      </x:c>
      <x:c r="E36" s="246" t="str">
        <x:v>PASS</x:v>
      </x:c>
      <x:c r="F36" s="299" t="str">
        <x:v>Travel / known world</x:v>
      </x:c>
      <x:c r="G36" s="299" t="str">
        <x:v>Payload validates against the authority, knowledge, state and consequence-routing contract for its branch.</x:v>
      </x:c>
      <x:c r="H36" s="299" t="str">
        <x:v>Validated with no forbidden public keys</x:v>
      </x:c>
    </x:row>
    <x:row r="37" ht="62" customHeight="1">
      <x:c r="A37" s="300" t="str">
        <x:v>positive/world-record-event.json</x:v>
      </x:c>
      <x:c r="B37" s="300" t="str">
        <x:v>VALID</x:v>
      </x:c>
      <x:c r="C37" s="300" t="str">
        <x:v>events/system-breadth.schema.json #/$defs/WorldRecordUpdated</x:v>
      </x:c>
      <x:c r="D37" s="300" t="str">
        <x:v>SCN-10, SCN-11</x:v>
      </x:c>
      <x:c r="E37" s="246" t="str">
        <x:v>PASS</x:v>
      </x:c>
      <x:c r="F37" s="300" t="str">
        <x:v>Cross-surface routing</x:v>
      </x:c>
      <x:c r="G37" s="300" t="str">
        <x:v>Payload validates against the authority, knowledge, state and consequence-routing contract for its branch.</x:v>
      </x:c>
      <x:c r="H37" s="300" t="str">
        <x:v>Validated with no forbidden public keys</x:v>
      </x:c>
    </x:row>
    <x:row r="38" ht="62" customHeight="1">
      <x:c r="A38" s="299" t="str">
        <x:v>positive/chronicle-routed-event.json</x:v>
      </x:c>
      <x:c r="B38" s="299" t="str">
        <x:v>VALID</x:v>
      </x:c>
      <x:c r="C38" s="299" t="str">
        <x:v>events/system-breadth.schema.json #/$defs/ChronicleConsequenceRouted</x:v>
      </x:c>
      <x:c r="D38" s="299" t="str">
        <x:v>SCN-11, SCN-16</x:v>
      </x:c>
      <x:c r="E38" s="246" t="str">
        <x:v>PASS</x:v>
      </x:c>
      <x:c r="F38" s="299" t="str">
        <x:v>Cross-surface routing</x:v>
      </x:c>
      <x:c r="G38" s="299" t="str">
        <x:v>Payload validates against the authority, knowledge, state and consequence-routing contract for its branch.</x:v>
      </x:c>
      <x:c r="H38" s="299" t="str">
        <x:v>Validated with no forbidden public keys</x:v>
      </x:c>
    </x:row>
    <x:row r="39" ht="62" customHeight="1">
      <x:c r="A39" s="300" t="str">
        <x:v>negative/character-zero-vitality-declared-dead.json</x:v>
      </x:c>
      <x:c r="B39" s="300" t="str">
        <x:v>INVALID</x:v>
      </x:c>
      <x:c r="C39" s="300" t="str">
        <x:v>read-models/character-continuation.schema.json #/$defs/CharacterRecord</x:v>
      </x:c>
      <x:c r="D39" s="300" t="str">
        <x:v>SCN-03, FND-006</x:v>
      </x:c>
      <x:c r="E39" s="246" t="str">
        <x:v>PASS</x:v>
      </x:c>
      <x:c r="F39" s="300" t="str">
        <x:v>Character / progression</x:v>
      </x:c>
      <x:c r="G39" s="300" t="str">
        <x:v>Zero Vitality alone cannot serialize death without a death event record.</x:v>
      </x:c>
      <x:c r="H39" s="300" t="str">
        <x:v>Rejected as designed</x:v>
      </x:c>
    </x:row>
    <x:row r="40" ht="62" customHeight="1">
      <x:c r="A40" s="299" t="str">
        <x:v>negative/actor-private-motive.json</x:v>
      </x:c>
      <x:c r="B40" s="299" t="str">
        <x:v>INVALID</x:v>
      </x:c>
      <x:c r="C40" s="299" t="str">
        <x:v>read-models/company-relics.schema.json #/$defs/AutonomousActorStatus</x:v>
      </x:c>
      <x:c r="D40" s="299" t="str">
        <x:v>SCN-07, KNO-001</x:v>
      </x:c>
      <x:c r="E40" s="246" t="str">
        <x:v>PASS</x:v>
      </x:c>
      <x:c r="F40" s="299" t="str">
        <x:v>Autonomy / recruitment</x:v>
      </x:c>
      <x:c r="G40" s="299" t="str">
        <x:v>Private actor motives never enter a public projection.</x:v>
      </x:c>
      <x:c r="H40" s="299" t="str">
        <x:v>Rejected as designed</x:v>
      </x:c>
    </x:row>
    <x:row r="41" ht="62" customHeight="1">
      <x:c r="A41" s="300" t="str">
        <x:v>negative/actor-obedience-score.json</x:v>
      </x:c>
      <x:c r="B41" s="300" t="str">
        <x:v>INVALID</x:v>
      </x:c>
      <x:c r="C41" s="300" t="str">
        <x:v>read-models/company-relics.schema.json #/$defs/AutonomousActorStatus</x:v>
      </x:c>
      <x:c r="D41" s="300" t="str">
        <x:v>SCN-07, PTY-003</x:v>
      </x:c>
      <x:c r="E41" s="246" t="str">
        <x:v>PASS</x:v>
      </x:c>
      <x:c r="F41" s="300" t="str">
        <x:v>Autonomy / recruitment</x:v>
      </x:c>
      <x:c r="G41" s="300" t="str">
        <x:v>Autonomous actors have boundaries and authority, not obedience scores.</x:v>
      </x:c>
      <x:c r="H41" s="300" t="str">
        <x:v>Rejected as designed</x:v>
      </x:c>
    </x:row>
    <x:row r="42" ht="62" customHeight="1">
      <x:c r="A42" s="299" t="str">
        <x:v>negative/relic-exact-bond.json</x:v>
      </x:c>
      <x:c r="B42" s="299" t="str">
        <x:v>INVALID</x:v>
      </x:c>
      <x:c r="C42" s="299" t="str">
        <x:v>read-models/company-relics.schema.json #/$defs/RelicRecord</x:v>
      </x:c>
      <x:c r="D42" s="299" t="str">
        <x:v>SCN-08, KNO-001</x:v>
      </x:c>
      <x:c r="E42" s="246" t="str">
        <x:v>PASS</x:v>
      </x:c>
      <x:c r="F42" s="299" t="str">
        <x:v>Relic agency / access</x:v>
      </x:c>
      <x:c r="G42" s="299" t="str">
        <x:v>Exact private Bond is omitted; only evidence-backed qualitative state is public.</x:v>
      </x:c>
      <x:c r="H42" s="299" t="str">
        <x:v>Rejected as designed</x:v>
      </x:c>
    </x:row>
    <x:row r="43" ht="62" customHeight="1">
      <x:c r="A43" s="300" t="str">
        <x:v>negative/journey-canonical-coordinates-while-lost.json</x:v>
      </x:c>
      <x:c r="B43" s="300" t="str">
        <x:v>INVALID</x:v>
      </x:c>
      <x:c r="C43" s="300" t="str">
        <x:v>read-models/world-investigation.schema.json #/$defs/JourneyState</x:v>
      </x:c>
      <x:c r="D43" s="300" t="str">
        <x:v>SCN-09, KNO-001</x:v>
      </x:c>
      <x:c r="E43" s="246" t="str">
        <x:v>PASS</x:v>
      </x:c>
      <x:c r="F43" s="300" t="str">
        <x:v>Travel / known world</x:v>
      </x:c>
      <x:c r="G43" s="300" t="str">
        <x:v>Lost-state projections omit the engine's canonical coordinates.</x:v>
      </x:c>
      <x:c r="H43" s="300" t="str">
        <x:v>Rejected as designed</x:v>
      </x:c>
    </x:row>
    <x:row r="44" ht="62" customHeight="1">
      <x:c r="A44" s="299" t="str">
        <x:v>negative/front-secret-clock.json</x:v>
      </x:c>
      <x:c r="B44" s="299" t="str">
        <x:v>INVALID</x:v>
      </x:c>
      <x:c r="C44" s="299" t="str">
        <x:v>read-models/world-investigation.schema.json #/$defs/FactionFrontLegalRecord</x:v>
      </x:c>
      <x:c r="D44" s="299" t="str">
        <x:v>SCN-14, KNO-001</x:v>
      </x:c>
      <x:c r="E44" s="246" t="str">
        <x:v>PASS</x:v>
      </x:c>
      <x:c r="F44" s="299" t="str">
        <x:v>Fronts / law / response tracks</x:v>
      </x:c>
      <x:c r="G44" s="299" t="str">
        <x:v>Private Front clock values are omitted; public pressure requires evidence.</x:v>
      </x:c>
      <x:c r="H44" s="299" t="str">
        <x:v>Rejected as designed</x:v>
      </x:c>
    </x:row>
    <x:row r="45" ht="62" customHeight="1">
      <x:c r="A45" s="300" t="str">
        <x:v>negative/site-hidden-feature-count.json</x:v>
      </x:c>
      <x:c r="B45" s="300" t="str">
        <x:v>INVALID</x:v>
      </x:c>
      <x:c r="C45" s="300" t="str">
        <x:v>read-models/world-investigation.schema.json #/$defs/SiteRecord</x:v>
      </x:c>
      <x:c r="D45" s="300" t="str">
        <x:v>SCN-10, KNO-001</x:v>
      </x:c>
      <x:c r="E45" s="246" t="str">
        <x:v>PASS</x:v>
      </x:c>
      <x:c r="F45" s="300" t="str">
        <x:v>Site persistence / knowledge</x:v>
      </x:c>
      <x:c r="G45" s="300" t="str">
        <x:v>Site projections never expose hidden Feature counts or completion percentages.</x:v>
      </x:c>
      <x:c r="H45" s="300" t="str">
        <x:v>Rejected as designed</x:v>
      </x:c>
    </x:row>
    <x:row r="46" ht="62" customHeight="1">
      <x:c r="A46" s="299" t="str">
        <x:v>negative/custody-transfer-without-authority.json</x:v>
      </x:c>
      <x:c r="B46" s="299" t="str">
        <x:v>INVALID</x:v>
      </x:c>
      <x:c r="C46" s="299" t="str">
        <x:v>commands/system-breadth.schema.json #/$defs/TransferCustody</x:v>
      </x:c>
      <x:c r="D46" s="299" t="str">
        <x:v>SCN-12, TIM-005</x:v>
      </x:c>
      <x:c r="E46" s="246" t="str">
        <x:v>PASS</x:v>
      </x:c>
      <x:c r="F46" s="299" t="str">
        <x:v>Custody / ownership</x:v>
      </x:c>
      <x:c r="G46" s="299" t="str">
        <x:v>Custody cannot change without an explicit authority reference.</x:v>
      </x:c>
      <x:c r="H46" s="299" t="str">
        <x:v>Rejected as designed</x:v>
      </x:c>
    </x:row>
    <x:row r="47" ht="62" customHeight="1">
      <x:c r="A47" s="301" t="str">
        <x:v>negative/silent-bp-spend.json</x:v>
      </x:c>
      <x:c r="B47" s="301" t="str">
        <x:v>INVALID</x:v>
      </x:c>
      <x:c r="C47" s="301" t="str">
        <x:v>commands/system-breadth.schema.json #/$defs/CommitAdvancement</x:v>
      </x:c>
      <x:c r="D47" s="301" t="str">
        <x:v>SCN-02, TIM-005</x:v>
      </x:c>
      <x:c r="E47" s="247" t="str">
        <x:v>PASS</x:v>
      </x:c>
      <x:c r="F47" s="301" t="str">
        <x:v>System breadth</x:v>
      </x:c>
      <x:c r="G47" s="301" t="str">
        <x:v>BP cannot be spent without the reviewed advancement draft.</x:v>
      </x:c>
      <x:c r="H47" s="301" t="str">
        <x:v>Rejected as designed</x:v>
      </x:c>
    </x:row>
  </x:sheetData>
  <x:mergeCells>
    <x:mergeCell ref="A1:H1"/>
    <x:mergeCell ref="A2:H2"/>
  </x:mergeCells>
  <x:conditionalFormatting sqref="B5:B47">
    <x:cfRule type="containsText" dxfId="10" priority="1" operator="containsText" text="INVALID"/>
  </x:conditionalFormatting>
  <x:pageMargins left="0.7" right="0.7" top="0.75" bottom="0.75" header="0.3" footer="0.3"/>
  <x:tableParts count="1">
    <x:tablePart xmlns:r="http://schemas.openxmlformats.org/officeDocument/2006/relationships" r:id="R6744c387192e47c3"/>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3" hidden="0" customWidth="1"/>
    <x:col min="2" max="2" width="51" hidden="0" customWidth="1"/>
    <x:col min="3" max="3" width="48" hidden="0" customWidth="1"/>
    <x:col min="4" max="4" width="36" hidden="0" customWidth="1"/>
    <x:col min="5" max="5" width="34" hidden="0" customWidth="1"/>
    <x:col min="6" max="6" width="35" hidden="0" customWidth="1"/>
    <x:col min="7" max="7" width="43" hidden="0" customWidth="1"/>
    <x:col min="8" max="8" width="52" hidden="0" customWidth="1"/>
  </x:cols>
  <x:sheetData>
    <x:row r="1">
      <x:c r="A1" s="255" t="str">
        <x:v>CHECKPOINT C2 • PLAYER-SAFE SYSTEM BOUNDARIES</x:v>
      </x:c>
      <x:c r="B1" s="255" t="str">
        <x:v>CHECKPOINT C2 • PLAYER-SAFE SYSTEM BOUNDARIES</x:v>
      </x:c>
      <x:c r="C1" s="255" t="str">
        <x:v>CHECKPOINT C2 • PLAYER-SAFE SYSTEM BOUNDARIES</x:v>
      </x:c>
      <x:c r="D1" s="255" t="str">
        <x:v>CHECKPOINT C2 • PLAYER-SAFE SYSTEM BOUNDARIES</x:v>
      </x:c>
      <x:c r="E1" s="255" t="str">
        <x:v>CHECKPOINT C2 • PLAYER-SAFE SYSTEM BOUNDARIES</x:v>
      </x:c>
      <x:c r="F1" s="255" t="str">
        <x:v>CHECKPOINT C2 • PLAYER-SAFE SYSTEM BOUNDARIES</x:v>
      </x:c>
      <x:c r="G1" s="255" t="str">
        <x:v>CHECKPOINT C2 • PLAYER-SAFE SYSTEM BOUNDARIES</x:v>
      </x:c>
      <x:c r="H1" s="255" t="str">
        <x:v>CHECKPOINT C2 • PLAYER-SAFE SYSTEM BOUNDARIES</x:v>
      </x:c>
    </x:row>
    <x:row r="2">
      <x:c r="A2" s="259" t="str">
        <x:v>What the desktop UI may show, what remains omitted, what requires commit and how one consequence routes across the game</x:v>
      </x:c>
      <x:c r="B2" s="259" t="str">
        <x:v>What the desktop UI may show, what remains omitted, what requires commit and how one consequence routes across the game</x:v>
      </x:c>
      <x:c r="C2" s="259" t="str">
        <x:v>What the desktop UI may show, what remains omitted, what requires commit and how one consequence routes across the game</x:v>
      </x:c>
      <x:c r="D2" s="259" t="str">
        <x:v>What the desktop UI may show, what remains omitted, what requires commit and how one consequence routes across the game</x:v>
      </x:c>
      <x:c r="E2" s="259" t="str">
        <x:v>What the desktop UI may show, what remains omitted, what requires commit and how one consequence routes across the game</x:v>
      </x:c>
      <x:c r="F2" s="259" t="str">
        <x:v>What the desktop UI may show, what remains omitted, what requires commit and how one consequence routes across the game</x:v>
      </x:c>
      <x:c r="G2" s="259" t="str">
        <x:v>What the desktop UI may show, what remains omitted, what requires commit and how one consequence routes across the game</x:v>
      </x:c>
      <x:c r="H2" s="259" t="str">
        <x:v>What the desktop UI may show, what remains omitted, what requires commit and how one consequence routes across the game</x:v>
      </x:c>
    </x:row>
    <x:row r="4">
      <x:c r="A4" s="296" t="str">
        <x:v>System</x:v>
      </x:c>
      <x:c r="B4" s="297" t="str">
        <x:v>Player-Visible Contract</x:v>
      </x:c>
      <x:c r="C4" s="297" t="str">
        <x:v>Omitted / Protected</x:v>
      </x:c>
      <x:c r="D4" s="297" t="str">
        <x:v>Draft Boundary</x:v>
      </x:c>
      <x:c r="E4" s="297" t="str">
        <x:v>Commit Authority</x:v>
      </x:c>
      <x:c r="F4" s="297" t="str">
        <x:v>Persistence Route</x:v>
      </x:c>
      <x:c r="G4" s="297" t="str">
        <x:v>Deliberate Invalid Gate</x:v>
      </x:c>
      <x:c r="H4" s="298" t="str">
        <x:v>UX Result</x:v>
      </x:c>
    </x:row>
    <x:row r="5" ht="82" customHeight="1">
      <x:c r="A5" s="276" t="str">
        <x:v>Progression</x:v>
      </x:c>
      <x:c r="B5" s="276" t="str">
        <x:v>XP source ledger, earned/spent/banked BP, checkpoint, noncanonical allocations</x:v>
      </x:c>
      <x:c r="C5" s="276" t="str">
        <x:v>No silent spending or hidden auto-build</x:v>
      </x:c>
      <x:c r="D5" s="276" t="str">
        <x:v>Edit allocations freely without spend</x:v>
      </x:c>
      <x:c r="E5" s="276" t="str">
        <x:v>Advancement validator + reducer</x:v>
      </x:c>
      <x:c r="F5" s="276" t="str">
        <x:v>Character + Chronicle</x:v>
      </x:c>
      <x:c r="G5" s="276" t="str">
        <x:v>silent-bp-spend</x:v>
      </x:c>
      <x:c r="H5" s="276" t="str">
        <x:v>Advancement feels like authored growth, not a form submission</x:v>
      </x:c>
    </x:row>
    <x:row r="6" ht="82" customHeight="1">
      <x:c r="A6" s="299" t="str">
        <x:v>Harm + continuation</x:v>
      </x:c>
      <x:c r="B6" s="299" t="str">
        <x:v>Vitality, Wounds, defeat state, body/soul knowledge, playable options</x:v>
      </x:c>
      <x:c r="C6" s="299" t="str">
        <x:v>No death inferred from zero Vitality; unknown soul truth omitted</x:v>
      </x:c>
      <x:c r="D6" s="299" t="str">
        <x:v>Inspect options and constraints</x:v>
      </x:c>
      <x:c r="E6" s="299" t="str">
        <x:v>Defeat/death reducer</x:v>
      </x:c>
      <x:c r="F6" s="299" t="str">
        <x:v>Character + Company + Chronicle</x:v>
      </x:c>
      <x:c r="G6" s="299" t="str">
        <x:v>character-zero-vitality-declared-dead</x:v>
      </x:c>
      <x:c r="H6" s="299" t="str">
        <x:v>Defeat preserves play and identity instead of producing a generic game-over modal</x:v>
      </x:c>
    </x:row>
    <x:row r="7" ht="82" customHeight="1">
      <x:c r="A7" s="300" t="str">
        <x:v>Companions</x:v>
      </x:c>
      <x:c r="B7" s="300" t="str">
        <x:v>Terms, governance, role, availability, qualitative relationship and evidence</x:v>
      </x:c>
      <x:c r="C7" s="300" t="str">
        <x:v>Private motives, exact relationship values and obedience scores</x:v>
      </x:c>
      <x:c r="D7" s="300" t="str">
        <x:v>Offer/request may be revised</x:v>
      </x:c>
      <x:c r="E7" s="300" t="str">
        <x:v>Autonomous actor accepts/refuses/counteroffers</x:v>
      </x:c>
      <x:c r="F7" s="300" t="str">
        <x:v>Company + World + Chronicle</x:v>
      </x:c>
      <x:c r="G7" s="300" t="str">
        <x:v>actor-private-motive; actor-obedience-score</x:v>
      </x:c>
      <x:c r="H7" s="300" t="str">
        <x:v>People remain people, making party play surprising and legible</x:v>
      </x:c>
    </x:row>
    <x:row r="8" ht="82" customHeight="1">
      <x:c r="A8" s="299" t="str">
        <x:v>Relics</x:v>
      </x:c>
      <x:c r="B8" s="299" t="str">
        <x:v>Custody, ownership, Claim, Recognition, relationship state, Attunement, function access</x:v>
      </x:c>
      <x:c r="C8" s="299" t="str">
        <x:v>Exact private Bond and undisclosed Drives/secrets</x:v>
      </x:c>
      <x:c r="D8" s="299" t="str">
        <x:v>Inspect or request access</x:v>
      </x:c>
      <x:c r="E8" s="299" t="str">
        <x:v>Relic agency + rules validator</x:v>
      </x:c>
      <x:c r="F8" s="299" t="str">
        <x:v>Company + Holdings + Chronicle</x:v>
      </x:c>
      <x:c r="G8" s="299" t="str">
        <x:v>relic-exact-bond</x:v>
      </x:c>
      <x:c r="H8" s="299" t="str">
        <x:v>Relics feel like persistent mythic characters, not inventory buffs</x:v>
      </x:c>
    </x:row>
    <x:row r="9" ht="82" customHeight="1">
      <x:c r="A9" s="300" t="str">
        <x:v>Holdings + projects</x:v>
      </x:c>
      <x:c r="B9" s="300" t="str">
        <x:v>Item provenance, location, custody, ownership, materials, interval Progress and checkpoint</x:v>
      </x:c>
      <x:c r="C9" s="300" t="str">
        <x:v>No undocumented defect/ingredient after a roll</x:v>
      </x:c>
      <x:c r="D9" s="300" t="str">
        <x:v>Reserve workers/materials only in preview</x:v>
      </x:c>
      <x:c r="E9" s="300" t="str">
        <x:v>Custody/project reducers</x:v>
      </x:c>
      <x:c r="F9" s="300" t="str">
        <x:v>Holdings + World + Chronicle</x:v>
      </x:c>
      <x:c r="G9" s="300" t="str">
        <x:v>custody-transfer-without-authority</x:v>
      </x:c>
      <x:c r="H9" s="300" t="str">
        <x:v>Economy and crafting become consequential world play</x:v>
      </x:c>
    </x:row>
    <x:row r="10" ht="82" customHeight="1">
      <x:c r="A10" s="299" t="str">
        <x:v>Travel</x:v>
      </x:c>
      <x:c r="B10" s="299" t="str">
        <x:v>Known routes, sensory position, roles, Pace, leg, costs and compression pause</x:v>
      </x:c>
      <x:c r="C10" s="299" t="str">
        <x:v>Canonical position when lost and undeclared encounter relocation</x:v>
      </x:c>
      <x:c r="D10" s="299" t="str">
        <x:v>Plan leg without time/fuel spend</x:v>
      </x:c>
      <x:c r="E10" s="299" t="str">
        <x:v>Journey reducer</x:v>
      </x:c>
      <x:c r="F10" s="299" t="str">
        <x:v>World + Character + Company + Chronicle</x:v>
      </x:c>
      <x:c r="G10" s="299" t="str">
        <x:v>journey-canonical-coordinates-while-lost</x:v>
      </x:c>
      <x:c r="H10" s="299" t="str">
        <x:v>Travel supports discovery, risk and absurd methods without becoming a loading screen</x:v>
      </x:c>
    </x:row>
    <x:row r="11" ht="82" customHeight="1">
      <x:c r="A11" s="300" t="str">
        <x:v>Sites + investigation</x:v>
      </x:c>
      <x:c r="B11" s="300" t="str">
        <x:v>Known topology, persistent changes, Questions, Claims, Evidence, Leads and contradictions</x:v>
      </x:c>
      <x:c r="C11" s="300" t="str">
        <x:v>Hidden Feature counts, truth certification and universal completion percentage</x:v>
      </x:c>
      <x:c r="D11" s="300" t="str">
        <x:v>Map/search/analyze intent remains revisable</x:v>
      </x:c>
      <x:c r="E11" s="300" t="str">
        <x:v>Site/evidence reducers</x:v>
      </x:c>
      <x:c r="F11" s="300" t="str">
        <x:v>World + Holdings + Chronicle</x:v>
      </x:c>
      <x:c r="G11" s="300" t="str">
        <x:v>site-hidden-feature-count</x:v>
      </x:c>
      <x:c r="H11" s="300" t="str">
        <x:v>Exploration rewards actual observation and causal destruction</x:v>
      </x:c>
    </x:row>
    <x:row r="12" ht="82" customHeight="1">
      <x:c r="A12" s="299" t="str">
        <x:v>Fronts + law</x:v>
      </x:c>
      <x:c r="B12" s="299" t="str">
        <x:v>Evidence-backed pressure, separate response tracks, jurisdiction, warrant stage and options</x:v>
      </x:c>
      <x:c r="C12" s="299" t="str">
        <x:v>Private clocks, universal wanted meter and warrant-as-guilt</x:v>
      </x:c>
      <x:c r="D12" s="299" t="str">
        <x:v>Inspect process and plan response</x:v>
      </x:c>
      <x:c r="E12" s="299" t="str">
        <x:v>Faction/legal actors and reducers</x:v>
      </x:c>
      <x:c r="F12" s="299" t="str">
        <x:v>World + Company + Chronicle</x:v>
      </x:c>
      <x:c r="G12" s="299" t="str">
        <x:v>front-secret-clock</x:v>
      </x:c>
      <x:c r="H12" s="299" t="str">
        <x:v>World response feels institutional, local and contestable</x:v>
      </x:c>
    </x:row>
    <x:row r="13" ht="82" customHeight="1">
      <x:c r="A13" s="301" t="str">
        <x:v>Chronicle</x:v>
      </x:c>
      <x:c r="B13" s="301" t="str">
        <x:v>One event bundle with coherent surface projections and consequence links</x:v>
      </x:c>
      <x:c r="C13" s="301" t="str">
        <x:v>No hidden source payload or omniscient transcript</x:v>
      </x:c>
      <x:c r="D13" s="301" t="str">
        <x:v>Select follow-up surface</x:v>
      </x:c>
      <x:c r="E13" s="301" t="str">
        <x:v>Projection router only</x:v>
      </x:c>
      <x:c r="F13" s="301" t="str">
        <x:v>All five product surfaces</x:v>
      </x:c>
      <x:c r="G13" s="301" t="str">
        <x:v>cross-surface fixture consistency</x:v>
      </x:c>
      <x:c r="H13" s="301" t="str">
        <x:v>The game remembers choices as navigable consequences, not chat history</x:v>
      </x:c>
    </x:row>
  </x:sheetData>
  <x:mergeCells>
    <x:mergeCell ref="A1:H1"/>
    <x:mergeCell ref="A2:H2"/>
  </x:mergeCells>
  <x:pageMargins left="0.7" right="0.7" top="0.75" bottom="0.75" header="0.3" footer="0.3"/>
  <x:tableParts count="1">
    <x:tablePart xmlns:r="http://schemas.openxmlformats.org/officeDocument/2006/relationships" r:id="R91dea2c84b3540bf"/>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25" hidden="0" customWidth="1"/>
    <x:col min="2" max="2" width="44" hidden="0" customWidth="1"/>
    <x:col min="3" max="3" width="42" hidden="0" customWidth="1"/>
    <x:col min="4" max="4" width="25" hidden="0" customWidth="1"/>
    <x:col min="5" max="5" width="13" hidden="0" customWidth="1"/>
    <x:col min="6" max="6" width="4" hidden="0" customWidth="1"/>
    <x:col min="7" max="7" width="44" hidden="0" customWidth="1"/>
    <x:col min="8" max="8" width="20" hidden="0" customWidth="1"/>
  </x:cols>
  <x:sheetData>
    <x:row r="1" ht="30" customHeight="1">
      <x:c r="A1" s="359" t="str">
        <x:v>MYTHIC SUPERHERO RPG • PHASE 6 CHECKPOINT C3</x:v>
      </x:c>
      <x:c r="B1" s="359"/>
      <x:c r="C1" s="359"/>
      <x:c r="D1" s="359"/>
      <x:c r="E1" s="359"/>
      <x:c r="F1" s="359"/>
      <x:c r="G1" s="359"/>
      <x:c r="H1" s="359"/>
    </x:row>
    <x:row r="2" ht="34" customHeight="1">
      <x:c r="A2" s="360" t="str">
        <x:v>Approved async, accessibility and media contracts • durable recovery, structural accessibility and professional comic production that never blocks play</x:v>
      </x:c>
      <x:c r="B2" s="360" t="str">
        <x:v>Approved async, accessibility and media contracts • durable recovery, structural accessibility and professional comic production that never blocks play</x:v>
      </x:c>
      <x:c r="C2" s="360" t="str">
        <x:v>Approved async, accessibility and media contracts • durable recovery, structural accessibility and professional comic production that never blocks play</x:v>
      </x:c>
      <x:c r="D2" s="360" t="str">
        <x:v>Approved async, accessibility and media contracts • durable recovery, structural accessibility and professional comic production that never blocks play</x:v>
      </x:c>
      <x:c r="E2" s="360" t="str">
        <x:v>Approved async, accessibility and media contracts • durable recovery, structural accessibility and professional comic production that never blocks play</x:v>
      </x:c>
      <x:c r="F2" s="360" t="str">
        <x:v>Approved async, accessibility and media contracts • durable recovery, structural accessibility and professional comic production that never blocks play</x:v>
      </x:c>
      <x:c r="G2" s="360" t="str">
        <x:v>Approved async, accessibility and media contracts • durable recovery, structural accessibility and professional comic production that never blocks play</x:v>
      </x:c>
      <x:c r="H2" s="360" t="str">
        <x:v>Approved async, accessibility and media contracts • durable recovery, structural accessibility and professional comic production that never blocks play</x:v>
      </x:c>
    </x:row>
    <x:row r="3">
      <x:c r="A3" s="361"/>
      <x:c r="B3" s="361"/>
      <x:c r="C3" s="361"/>
      <x:c r="D3" s="361"/>
      <x:c r="E3" s="361"/>
      <x:c r="F3" s="361"/>
      <x:c r="G3" s="361"/>
      <x:c r="H3" s="361"/>
    </x:row>
    <x:row r="4" ht="33" customHeight="1">
      <x:c r="A4" s="362" t="str">
        <x:v>Approved dependencies</x:v>
      </x:c>
      <x:c r="B4" s="363" t="str">
        <x:v>C1 + C2 · approved and locked 2026-08-23</x:v>
      </x:c>
      <x:c r="C4" s="361"/>
      <x:c r="D4" s="364" t="str">
        <x:v>C3 ACCEPTANCE RESULT</x:v>
      </x:c>
      <x:c r="E4" s="364"/>
      <x:c r="F4" s="364"/>
      <x:c r="G4" s="364" t="str">
        <x:v>MACHINE-VERIFIED</x:v>
      </x:c>
      <x:c r="H4" s="364"/>
    </x:row>
    <x:row r="5" ht="33" customHeight="1">
      <x:c r="A5" s="362" t="str">
        <x:v>C3 status</x:v>
      </x:c>
      <x:c r="B5" s="363" t="str">
        <x:v>Approved and locked · 2026-08-23</x:v>
      </x:c>
      <x:c r="C5" s="361"/>
      <x:c r="D5" s="365" t="str">
        <x:v>Contract matrix rows</x:v>
      </x:c>
      <x:c r="E5" s="365" t="n">
        <x:v>29</x:v>
      </x:c>
      <x:c r="F5" s="361"/>
      <x:c r="G5" s="366" t="str">
        <x:v>60/60 gates pass. All eight C3 schemas resolve against the eleven approved C1/C2 schemas. Forty-three valid payloads pass and seventeen violations are rejected, including invented progress, blocking Source Locks, nonconsensual WIP, knowledge leakage, mutable publication, queue loss and analytics content exposure.</x:v>
      </x:c>
      <x:c r="H5" s="366"/>
    </x:row>
    <x:row r="6" ht="33" customHeight="1">
      <x:c r="A6" s="362" t="str">
        <x:v>Contract stack</x:v>
      </x:c>
      <x:c r="B6" s="363" t="str">
        <x:v>JSON Schema 2020-12 · OpenAPI 3.1.2 · AsyncAPI 3.1.0</x:v>
      </x:c>
      <x:c r="C6" s="361"/>
      <x:c r="D6" s="365" t="str">
        <x:v>C3 schema documents</x:v>
      </x:c>
      <x:c r="E6" s="365" t="n">
        <x:v>8</x:v>
      </x:c>
      <x:c r="F6" s="361"/>
      <x:c r="G6" s="366"/>
      <x:c r="H6" s="366"/>
    </x:row>
    <x:row r="7" ht="33" customHeight="1">
      <x:c r="A7" s="362" t="str">
        <x:v>System breadth</x:v>
      </x:c>
      <x:c r="B7" s="363" t="str">
        <x:v>Recovery · accessibility · content controls · localization · comics · analytics</x:v>
      </x:c>
      <x:c r="C7" s="361"/>
      <x:c r="D7" s="365" t="str">
        <x:v>OpenAPI operations</x:v>
      </x:c>
      <x:c r="E7" s="365" t="n">
        <x:v>26</x:v>
      </x:c>
      <x:c r="F7" s="361"/>
      <x:c r="G7" s="366"/>
      <x:c r="H7" s="366"/>
    </x:row>
    <x:row r="8" ht="33" customHeight="1">
      <x:c r="A8" s="362" t="str">
        <x:v>Implementation boundary</x:v>
      </x:c>
      <x:c r="B8" s="363" t="str">
        <x:v>Contract authoring only; no production frontend, provider, transport, storage or deployment authorization</x:v>
      </x:c>
      <x:c r="C8" s="361"/>
      <x:c r="D8" s="365" t="str">
        <x:v>AsyncAPI messages</x:v>
      </x:c>
      <x:c r="E8" s="365" t="n">
        <x:v>13</x:v>
      </x:c>
      <x:c r="F8" s="361"/>
      <x:c r="G8" s="366"/>
      <x:c r="H8" s="366"/>
    </x:row>
    <x:row r="9" ht="33" customHeight="1">
      <x:c r="A9" s="361"/>
      <x:c r="B9" s="361"/>
      <x:c r="C9" s="361"/>
      <x:c r="D9" s="365" t="str">
        <x:v>Validation fixtures</x:v>
      </x:c>
      <x:c r="E9" s="365" t="n">
        <x:v>60</x:v>
      </x:c>
      <x:c r="F9" s="361"/>
      <x:c r="G9" s="366"/>
      <x:c r="H9" s="366"/>
    </x:row>
    <x:row r="10" ht="33" customHeight="1">
      <x:c r="A10" s="361"/>
      <x:c r="B10" s="361"/>
      <x:c r="C10" s="361"/>
      <x:c r="D10" s="365" t="str">
        <x:v>Failed fixture gates</x:v>
      </x:c>
      <x:c r="E10" s="365" t="n">
        <x:v>0</x:v>
      </x:c>
      <x:c r="F10" s="361"/>
      <x:c r="G10" s="366"/>
      <x:c r="H10" s="366"/>
    </x:row>
    <x:row r="11">
      <x:c r="A11" s="361"/>
      <x:c r="B11" s="361"/>
      <x:c r="C11" s="361"/>
      <x:c r="D11" s="361"/>
      <x:c r="E11" s="361"/>
      <x:c r="F11" s="361"/>
      <x:c r="G11" s="361"/>
      <x:c r="H11" s="361"/>
    </x:row>
    <x:row r="12">
      <x:c r="A12" s="367" t="str">
        <x:v>WHAT C3 MAKES CONTRACTUALLY EXPLICIT</x:v>
      </x:c>
      <x:c r="B12" s="367"/>
      <x:c r="C12" s="367"/>
      <x:c r="D12" s="367"/>
      <x:c r="E12" s="367"/>
      <x:c r="F12" s="367"/>
      <x:c r="G12" s="367"/>
      <x:c r="H12" s="367"/>
    </x:row>
    <x:row r="13" ht="42" customHeight="1">
      <x:c r="A13" s="368" t="str">
        <x:v>1</x:v>
      </x:c>
      <x:c r="B13" s="369" t="str">
        <x:v>Durable recovery</x:v>
      </x:c>
      <x:c r="C13" s="370" t="str">
        <x:v>Save, queue, capture and Source Lock state survive disconnects and provider failure; work resumes from checkpoints.</x:v>
      </x:c>
      <x:c r="D13" s="370"/>
      <x:c r="E13" s="370"/>
      <x:c r="F13" s="370"/>
      <x:c r="G13" s="370"/>
      <x:c r="H13" s="370"/>
    </x:row>
    <x:row r="14" ht="42" customHeight="1">
      <x:c r="A14" s="368" t="str">
        <x:v>2</x:v>
      </x:c>
      <x:c r="B14" s="369" t="str">
        <x:v>Attention without omniscience</x:v>
      </x:c>
      <x:c r="C14" s="370" t="str">
        <x:v>Off-screen consequences aggregate by delivered causal evidence, urgency and action need; hidden facts never enter the digest.</x:v>
      </x:c>
      <x:c r="D14" s="370"/>
      <x:c r="E14" s="370"/>
      <x:c r="F14" s="370"/>
      <x:c r="G14" s="370"/>
      <x:c r="H14" s="370"/>
    </x:row>
    <x:row r="15" ht="42" customHeight="1">
      <x:c r="A15" s="368" t="str">
        <x:v>3</x:v>
      </x:c>
      <x:c r="B15" s="369" t="str">
        <x:v>Structural accessibility</x:v>
      </x:c>
      <x:c r="C15" s="370" t="str">
        <x:v>Keyboard, voice, switch, large text, screen reader, reduced motion, non-drag and color-independent meaning are state contracts.</x:v>
      </x:c>
      <x:c r="D15" s="370"/>
      <x:c r="E15" s="370"/>
      <x:c r="F15" s="370"/>
      <x:c r="G15" s="370"/>
      <x:c r="H15" s="370"/>
    </x:row>
    <x:row r="16" ht="42" customHeight="1">
      <x:c r="A16" s="368" t="str">
        <x:v>4</x:v>
      </x:c>
      <x:c r="B16" s="369" t="str">
        <x:v>Content + localization</x:v>
      </x:c>
      <x:c r="C16" s="370" t="str">
        <x:v>Confirmed Lines and Veils apply to play and comics; localization preserves source dialogue and outcome meaning in separate lettering layers.</x:v>
      </x:c>
      <x:c r="D16" s="370"/>
      <x:c r="E16" s="370"/>
      <x:c r="F16" s="370"/>
      <x:c r="G16" s="370"/>
      <x:c r="H16" s="370"/>
    </x:row>
    <x:row r="17" ht="42" customHeight="1">
      <x:c r="A17" s="368" t="str">
        <x:v>5</x:v>
      </x:c>
      <x:c r="B17" s="369" t="str">
        <x:v>Non-blocking capture</x:v>
      </x:c>
      <x:c r="C17" s="370" t="str">
        <x:v>Gameplay records lightweight source events, dialogue and visual continuity only; scripting, art, lettering, QA and export stay asynchronous.</x:v>
      </x:c>
      <x:c r="D17" s="370"/>
      <x:c r="E17" s="370"/>
      <x:c r="F17" s="370"/>
      <x:c r="G17" s="370"/>
      <x:c r="H17" s="370"/>
    </x:row>
    <x:row r="18" ht="42" customHeight="1">
      <x:c r="A18" s="368" t="str">
        <x:v>6</x:v>
      </x:c>
      <x:c r="B18" s="369" t="str">
        <x:v>Source Lock</x:v>
      </x:c>
      <x:c r="C18" s="370" t="str">
        <x:v>An immutable Canon Snapshot freezes adaptation input only. Gameplay, Ledger Time and later events continue into the next window.</x:v>
      </x:c>
      <x:c r="D18" s="370"/>
      <x:c r="E18" s="370"/>
      <x:c r="F18" s="370"/>
      <x:c r="G18" s="370"/>
      <x:c r="H18" s="370"/>
    </x:row>
    <x:row r="19" ht="42" customHeight="1">
      <x:c r="A19" s="368" t="str">
        <x:v>7</x:v>
      </x:c>
      <x:c r="B19" s="369" t="str">
        <x:v>Honest comic production</x:v>
      </x:c>
      <x:c r="C19" s="370" t="str">
        <x:v>Players see stages and durable checkpoints—not invented percentages or promised completion dates. WIP is explicit opt-in.</x:v>
      </x:c>
      <x:c r="D19" s="370"/>
      <x:c r="E19" s="370"/>
      <x:c r="F19" s="370"/>
      <x:c r="G19" s="370"/>
      <x:c r="H19" s="370"/>
    </x:row>
    <x:row r="20" ht="42" customHeight="1">
      <x:c r="A20" s="368" t="str">
        <x:v>8</x:v>
      </x:c>
      <x:c r="B20" s="369" t="str">
        <x:v>Immutable publication</x:v>
      </x:c>
      <x:c r="C20" s="370" t="str">
        <x:v>QA, provenance, rights and accessible packages precede publication; corrections create traceable superseding editions.</x:v>
      </x:c>
      <x:c r="D20" s="370"/>
      <x:c r="E20" s="370"/>
      <x:c r="F20" s="370"/>
      <x:c r="G20" s="370"/>
      <x:c r="H20" s="370"/>
    </x:row>
    <x:row r="21">
      <x:c r="A21" s="361"/>
      <x:c r="B21" s="361"/>
      <x:c r="C21" s="361"/>
      <x:c r="D21" s="361"/>
      <x:c r="E21" s="361"/>
      <x:c r="F21" s="361"/>
      <x:c r="G21" s="361"/>
      <x:c r="H21" s="361"/>
    </x:row>
    <x:row r="22">
      <x:c r="A22" s="416" t="str">
        <x:v>C3 APPROVAL RECORDED</x:v>
      </x:c>
      <x:c r="B22" s="416" t="str">
        <x:v>C3 APPROVAL RECORDED</x:v>
      </x:c>
      <x:c r="C22" s="416" t="str">
        <x:v>C3 APPROVAL RECORDED</x:v>
      </x:c>
      <x:c r="D22" s="416" t="str">
        <x:v>C3 APPROVAL RECORDED</x:v>
      </x:c>
      <x:c r="E22" s="416" t="str">
        <x:v>C3 APPROVAL RECORDED</x:v>
      </x:c>
      <x:c r="F22" s="416" t="str">
        <x:v>C3 APPROVAL RECORDED</x:v>
      </x:c>
      <x:c r="G22" s="416" t="str">
        <x:v>C3 APPROVAL RECORDED</x:v>
      </x:c>
      <x:c r="H22" s="416" t="str">
        <x:v>C3 APPROVAL RECORDED</x:v>
      </x:c>
    </x:row>
    <x:row r="23" ht="30" customHeight="1">
      <x:c r="A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B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C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D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E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F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G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H23"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row>
    <x:row r="24" ht="30" customHeight="1">
      <x:c r="A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B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C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D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E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F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G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H24" s="419"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row>
    <x:row r="25" ht="30" customHeight="1">
      <x:c r="A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B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C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D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E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F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G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c r="H25" s="420" t="str">
        <x:v>Product-owner approval on 2026-08-23 locks the C3 async, recovery, accessibility, content, localization, comic, media, analytics, operation, event and fixture boundaries. C4 traceability and backlog authoring are authorized. Production frontend construction remains closed pending the separate C4 decision and later Figma-free UI finalization.</x:v>
      </x:c>
    </x:row>
  </x:sheetData>
  <x:mergeCells>
    <x:mergeCell ref="A1:H1"/>
    <x:mergeCell ref="A2:H2"/>
    <x:mergeCell ref="G4:H4"/>
    <x:mergeCell ref="G5:H10"/>
    <x:mergeCell ref="A12:H12"/>
    <x:mergeCell ref="C13:H13"/>
    <x:mergeCell ref="C14:H14"/>
    <x:mergeCell ref="C15:H15"/>
    <x:mergeCell ref="C16:H16"/>
    <x:mergeCell ref="C17:H17"/>
    <x:mergeCell ref="C18:H18"/>
    <x:mergeCell ref="C19:H19"/>
    <x:mergeCell ref="C20:H20"/>
    <x:mergeCell ref="A22:H22"/>
    <x:mergeCell ref="A23:H25"/>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28" hidden="0" customWidth="1"/>
    <x:col min="4" max="4" width="17" hidden="0" customWidth="1"/>
    <x:col min="5" max="5" width="23" hidden="0" customWidth="1"/>
    <x:col min="6" max="6" width="23" hidden="0" customWidth="1"/>
    <x:col min="7" max="7" width="34" hidden="0" customWidth="1"/>
    <x:col min="8" max="8" width="30" hidden="0" customWidth="1"/>
    <x:col min="9" max="9" width="21" hidden="0" customWidth="1"/>
    <x:col min="10" max="10" width="28" hidden="0" customWidth="1"/>
    <x:col min="11" max="11" width="25" hidden="0" customWidth="1"/>
    <x:col min="12" max="12" width="27" hidden="0" customWidth="1"/>
    <x:col min="13" max="13" width="21" hidden="0" customWidth="1"/>
    <x:col min="14" max="14" width="18" hidden="0" customWidth="1"/>
    <x:col min="15" max="15" width="18" hidden="0" customWidth="1"/>
    <x:col min="16" max="16" width="28" hidden="0" customWidth="1"/>
    <x:col min="17" max="17" width="14" hidden="0" customWidth="1"/>
  </x:cols>
  <x:sheetData>
    <x:row r="1" ht="30" customHeight="1">
      <x:c r="A1" s="328" t="str">
        <x:v>CHECKPOINT C3 • ASYNC, ACCESSIBILITY AND MEDIA CONTRACT MATRIX</x:v>
      </x:c>
      <x:c r="B1" s="328"/>
      <x:c r="C1" s="328"/>
      <x:c r="D1" s="328"/>
      <x:c r="E1" s="328"/>
      <x:c r="F1" s="328"/>
      <x:c r="G1" s="328"/>
      <x:c r="H1" s="328"/>
      <x:c r="I1" s="328"/>
      <x:c r="J1" s="328"/>
      <x:c r="K1" s="328"/>
      <x:c r="L1" s="328"/>
      <x:c r="M1" s="328"/>
      <x:c r="N1" s="328"/>
      <x:c r="O1" s="328"/>
      <x:c r="P1" s="328"/>
      <x:c r="Q1" s="328"/>
    </x:row>
    <x:row r="2" ht="34" customHeight="1">
      <x:c r="A2" s="332" t="str">
        <x:v>Candidate mappings for recovery, attention, accessibility, content controls, localization, comics, media provenance and privacy-safe analytics</x:v>
      </x:c>
      <x:c r="B2" s="332"/>
      <x:c r="C2" s="332"/>
      <x:c r="D2" s="332"/>
      <x:c r="E2" s="332"/>
      <x:c r="F2" s="332"/>
      <x:c r="G2" s="332"/>
      <x:c r="H2" s="332"/>
      <x:c r="I2" s="332"/>
      <x:c r="J2" s="332"/>
      <x:c r="K2" s="332"/>
      <x:c r="L2" s="332"/>
      <x:c r="M2" s="332"/>
      <x:c r="N2" s="332"/>
      <x:c r="O2" s="332"/>
      <x:c r="P2" s="332"/>
      <x:c r="Q2" s="332"/>
    </x:row>
    <x:row r="4" ht="44" customHeight="1">
      <x:c r="A4" s="375" t="str">
        <x:v>Contract ID</x:v>
      </x:c>
      <x:c r="B4" s="375" t="str">
        <x:v>System</x:v>
      </x:c>
      <x:c r="C4" s="375" t="str">
        <x:v>Payload / Operation</x:v>
      </x:c>
      <x:c r="D4" s="375" t="str">
        <x:v>Direction</x:v>
      </x:c>
      <x:c r="E4" s="375" t="str">
        <x:v>Authority Owner</x:v>
      </x:c>
      <x:c r="F4" s="375" t="str">
        <x:v>Canonical Effect</x:v>
      </x:c>
      <x:c r="G4" s="375" t="str">
        <x:v>Contract Artifact</x:v>
      </x:c>
      <x:c r="H4" s="375" t="str">
        <x:v>Knowledge Boundary</x:v>
      </x:c>
      <x:c r="I4" s="375" t="str">
        <x:v>Version / Freshness</x:v>
      </x:c>
      <x:c r="J4" s="375" t="str">
        <x:v>Optimistic / Recovery</x:v>
      </x:c>
      <x:c r="K4" s="375" t="str">
        <x:v>Error / Exception</x:v>
      </x:c>
      <x:c r="L4" s="375" t="str">
        <x:v>Accessibility Semantic</x:v>
      </x:c>
      <x:c r="M4" s="375" t="str">
        <x:v>Requirement Trace</x:v>
      </x:c>
      <x:c r="N4" s="375" t="str">
        <x:v>Scenario Trace</x:v>
      </x:c>
      <x:c r="O4" s="375" t="str">
        <x:v>Component Trace</x:v>
      </x:c>
      <x:c r="P4" s="375" t="str">
        <x:v>Acceptance Evidence</x:v>
      </x:c>
      <x:c r="Q4" s="375" t="str">
        <x:v>Status</x:v>
      </x:c>
    </x:row>
    <x:row r="5" ht="64" customHeight="1">
      <x:c r="A5" s="384" t="str">
        <x:v>C3-ASY-001</x:v>
      </x:c>
      <x:c r="B5" s="384" t="str">
        <x:v>Connectivity</x:v>
      </x:c>
      <x:c r="C5" s="384" t="str">
        <x:v>ConnectivityState</x:v>
      </x:c>
      <x:c r="D5" s="384" t="str">
        <x:v>Engine → UI</x:v>
      </x:c>
      <x:c r="E5" s="384" t="str">
        <x:v>Connectivity projection</x:v>
      </x:c>
      <x:c r="F5" s="384" t="str">
        <x:v>None</x:v>
      </x:c>
      <x:c r="G5" s="384" t="str">
        <x:v>async-attention-recovery.schema.json</x:v>
      </x:c>
      <x:c r="H5" s="384" t="str">
        <x:v>No transport/private diagnostics</x:v>
      </x:c>
      <x:c r="I5" s="384" t="str">
        <x:v>Last durable state version</x:v>
      </x:c>
      <x:c r="J5" s="384" t="str">
        <x:v>Offline-safe capability separated from commit permission</x:v>
      </x:c>
      <x:c r="K5" s="384" t="str">
        <x:v>Degraded/offline/reconnecting</x:v>
      </x:c>
      <x:c r="L5" s="384" t="str">
        <x:v>Status announcement; no motion-only state</x:v>
      </x:c>
      <x:c r="M5" s="384" t="str">
        <x:v>ACC-002, ACC-003, TIM-005</x:v>
      </x:c>
      <x:c r="N5" s="384" t="str">
        <x:v>SCN-14, SCN-16</x:v>
      </x:c>
      <x:c r="O5" s="384" t="str">
        <x:v>CMP-38, CMP-39</x:v>
      </x:c>
      <x:c r="P5" s="384" t="str">
        <x:v>Positive degraded-connectivity fixture</x:v>
      </x:c>
      <x:c r="Q5" s="421" t="str">
        <x:v>Approved</x:v>
      </x:c>
    </x:row>
    <x:row r="6" ht="64" customHeight="1">
      <x:c r="A6" s="382" t="str">
        <x:v>C3-ASY-002</x:v>
      </x:c>
      <x:c r="B6" s="382" t="str">
        <x:v>Save + recovery</x:v>
      </x:c>
      <x:c r="C6" s="382" t="str">
        <x:v>SaveRecoveryState</x:v>
      </x:c>
      <x:c r="D6" s="382" t="str">
        <x:v>Engine → UI</x:v>
      </x:c>
      <x:c r="E6" s="382" t="str">
        <x:v>Recovery coordinator</x:v>
      </x:c>
      <x:c r="F6" s="382" t="str">
        <x:v>None</x:v>
      </x:c>
      <x:c r="G6" s="382" t="str">
        <x:v>async-attention-recovery.schema.json</x:v>
      </x:c>
      <x:c r="H6" s="382" t="str">
        <x:v>Viewpoint-safe explanation only</x:v>
      </x:c>
      <x:c r="I6" s="382" t="str">
        <x:v>Durable checkpoint + state version</x:v>
      </x:c>
      <x:c r="J6" s="382" t="str">
        <x:v>Resume from checkpoint; queue preserved</x:v>
      </x:c>
      <x:c r="K6" s="382" t="str">
        <x:v>Conflict/provider/unknown commit</x:v>
      </x:c>
      <x:c r="L6" s="382" t="str">
        <x:v>Actionable recovery region</x:v>
      </x:c>
      <x:c r="M6" s="382" t="str">
        <x:v>ACC-002, ACC-003, TIM-005</x:v>
      </x:c>
      <x:c r="N6" s="382" t="str">
        <x:v>SCN-14, SCN-16</x:v>
      </x:c>
      <x:c r="O6" s="382" t="str">
        <x:v>CMP-38</x:v>
      </x:c>
      <x:c r="P6" s="382" t="str">
        <x:v>Queue-loss gate rejected</x:v>
      </x:c>
      <x:c r="Q6" s="417" t="str">
        <x:v>Approved</x:v>
      </x:c>
    </x:row>
    <x:row r="7" ht="64" customHeight="1">
      <x:c r="A7" s="385" t="str">
        <x:v>C3-ASY-003</x:v>
      </x:c>
      <x:c r="B7" s="385" t="str">
        <x:v>Attention</x:v>
      </x:c>
      <x:c r="C7" s="385" t="str">
        <x:v>AttentionDigest</x:v>
      </x:c>
      <x:c r="D7" s="385" t="str">
        <x:v>Engine → UI</x:v>
      </x:c>
      <x:c r="E7" s="385" t="str">
        <x:v>Projection aggregator</x:v>
      </x:c>
      <x:c r="F7" s="385" t="str">
        <x:v>None</x:v>
      </x:c>
      <x:c r="G7" s="385" t="str">
        <x:v>async-attention-recovery.schema.json</x:v>
      </x:c>
      <x:c r="H7" s="385" t="str">
        <x:v>Delivered facts only</x:v>
      </x:c>
      <x:c r="I7" s="385" t="str">
        <x:v>Ledger aggregation window</x:v>
      </x:c>
      <x:c r="J7" s="385" t="str">
        <x:v>Deduped causal grouping</x:v>
      </x:c>
      <x:c r="K7" s="385" t="str">
        <x:v>Blocking/urgent/notable/ambient</x:v>
      </x:c>
      <x:c r="L7" s="385" t="str">
        <x:v>Aggregated live updates</x:v>
      </x:c>
      <x:c r="M7" s="385" t="str">
        <x:v>KNO-001, ACC-001</x:v>
      </x:c>
      <x:c r="N7" s="385" t="str">
        <x:v>SCN-14, SCN-16</x:v>
      </x:c>
      <x:c r="O7" s="385" t="str">
        <x:v>CMP-40</x:v>
      </x:c>
      <x:c r="P7" s="385" t="str">
        <x:v>Undelivered-fact gate rejected</x:v>
      </x:c>
      <x:c r="Q7" s="417" t="str">
        <x:v>Approved</x:v>
      </x:c>
    </x:row>
    <x:row r="8" ht="64" customHeight="1">
      <x:c r="A8" s="382" t="str">
        <x:v>C3-A11Y-001</x:v>
      </x:c>
      <x:c r="B8" s="382" t="str">
        <x:v>Accessibility</x:v>
      </x:c>
      <x:c r="C8" s="382" t="str">
        <x:v>AccessibilityProfile</x:v>
      </x:c>
      <x:c r="D8" s="382" t="str">
        <x:v>Bidirectional</x:v>
      </x:c>
      <x:c r="E8" s="382" t="str">
        <x:v>Preference service</x:v>
      </x:c>
      <x:c r="F8" s="382" t="str">
        <x:v>Presentation only</x:v>
      </x:c>
      <x:c r="G8" s="382" t="str">
        <x:v>accessibility-content-localization.schema.json</x:v>
      </x:c>
      <x:c r="H8" s="382" t="str">
        <x:v>Out-of-world profile; never character state</x:v>
      </x:c>
      <x:c r="I8" s="382" t="str">
        <x:v>Session persistent</x:v>
      </x:c>
      <x:c r="J8" s="382" t="str">
        <x:v>Preference changes reversible</x:v>
      </x:c>
      <x:c r="K8" s="382" t="str">
        <x:v>Unsupported input fallback</x:v>
      </x:c>
      <x:c r="L8" s="382" t="str">
        <x:v>Keyboard/voice/switch, non-drag, reduced motion</x:v>
      </x:c>
      <x:c r="M8" s="382" t="str">
        <x:v>ACC-001, ACC-003</x:v>
      </x:c>
      <x:c r="N8" s="382" t="str">
        <x:v>SCN-16, SCN-17</x:v>
      </x:c>
      <x:c r="O8" s="382" t="str">
        <x:v>CMP-39</x:v>
      </x:c>
      <x:c r="P8" s="382" t="str">
        <x:v>Drag-only gate rejected</x:v>
      </x:c>
      <x:c r="Q8" s="417" t="str">
        <x:v>Approved</x:v>
      </x:c>
    </x:row>
    <x:row r="9" ht="64" customHeight="1">
      <x:c r="A9" s="385" t="str">
        <x:v>C3-A11Y-002</x:v>
      </x:c>
      <x:c r="B9" s="385" t="str">
        <x:v>Content controls</x:v>
      </x:c>
      <x:c r="C9" s="385" t="str">
        <x:v>ContentControlProfile</x:v>
      </x:c>
      <x:c r="D9" s="385" t="str">
        <x:v>Bidirectional</x:v>
      </x:c>
      <x:c r="E9" s="385" t="str">
        <x:v>Content-control service</x:v>
      </x:c>
      <x:c r="F9" s="385" t="str">
        <x:v>Presentation boundary</x:v>
      </x:c>
      <x:c r="G9" s="385" t="str">
        <x:v>accessibility-content-localization.schema.json</x:v>
      </x:c>
      <x:c r="H9" s="385" t="str">
        <x:v>Explicit confirmation; never inferred</x:v>
      </x:c>
      <x:c r="I9" s="385" t="str">
        <x:v>Profile version</x:v>
      </x:c>
      <x:c r="J9" s="385" t="str">
        <x:v>Safe preview before confirmation</x:v>
      </x:c>
      <x:c r="K9" s="385" t="str">
        <x:v>Premise conflict before campaign commit</x:v>
      </x:c>
      <x:c r="L9" s="385" t="str">
        <x:v>Plain-language topic and boundary</x:v>
      </x:c>
      <x:c r="M9" s="385" t="str">
        <x:v>ACC-004, ONB-001</x:v>
      </x:c>
      <x:c r="N9" s="385" t="str">
        <x:v>SCN-01, SCN-15</x:v>
      </x:c>
      <x:c r="O9" s="385" t="str">
        <x:v>CMP-39</x:v>
      </x:c>
      <x:c r="P9" s="385" t="str">
        <x:v>Applies to gameplay + comics</x:v>
      </x:c>
      <x:c r="Q9" s="417" t="str">
        <x:v>Approved</x:v>
      </x:c>
    </x:row>
    <x:row r="10" ht="64" customHeight="1">
      <x:c r="A10" s="382" t="str">
        <x:v>C3-A11Y-003</x:v>
      </x:c>
      <x:c r="B10" s="382" t="str">
        <x:v>Localization</x:v>
      </x:c>
      <x:c r="C10" s="382" t="str">
        <x:v>LocalizationProfile</x:v>
      </x:c>
      <x:c r="D10" s="382" t="str">
        <x:v>Bidirectional</x:v>
      </x:c>
      <x:c r="E10" s="382" t="str">
        <x:v>Localization service</x:v>
      </x:c>
      <x:c r="F10" s="382" t="str">
        <x:v>Presentation only</x:v>
      </x:c>
      <x:c r="G10" s="382" t="str">
        <x:v>accessibility-content-localization.schema.json</x:v>
      </x:c>
      <x:c r="H10" s="382" t="str">
        <x:v>No knowledge-ceiling expansion</x:v>
      </x:c>
      <x:c r="I10" s="382" t="str">
        <x:v>Locale + terminology version</x:v>
      </x:c>
      <x:c r="J10" s="382" t="str">
        <x:v>Reflow without source change</x:v>
      </x:c>
      <x:c r="K10" s="382" t="str">
        <x:v>Missing glyph/term blocks export</x:v>
      </x:c>
      <x:c r="L10" s="382" t="str">
        <x:v>Reading direction + separate layers</x:v>
      </x:c>
      <x:c r="M10" s="382" t="str">
        <x:v>ACC-001, MED-005</x:v>
      </x:c>
      <x:c r="N10" s="382" t="str">
        <x:v>SCN-16</x:v>
      </x:c>
      <x:c r="O10" s="382" t="str">
        <x:v>CMP-36, CMP-39</x:v>
      </x:c>
      <x:c r="P10" s="382" t="str">
        <x:v>Meaning-change gate rejected</x:v>
      </x:c>
      <x:c r="Q10" s="417" t="str">
        <x:v>Approved</x:v>
      </x:c>
    </x:row>
    <x:row r="11" ht="64" customHeight="1">
      <x:c r="A11" s="385" t="str">
        <x:v>C3-A11Y-004</x:v>
      </x:c>
      <x:c r="B11" s="385" t="str">
        <x:v>Onboarding</x:v>
      </x:c>
      <x:c r="C11" s="385" t="str">
        <x:v>IssueZeroAvailability</x:v>
      </x:c>
      <x:c r="D11" s="385" t="str">
        <x:v>Engine → UI</x:v>
      </x:c>
      <x:c r="E11" s="385" t="str">
        <x:v>Onboarding projection</x:v>
      </x:c>
      <x:c r="F11" s="385" t="str">
        <x:v>None</x:v>
      </x:c>
      <x:c r="G11" s="385" t="str">
        <x:v>accessibility-content-localization.schema.json</x:v>
      </x:c>
      <x:c r="H11" s="385" t="str">
        <x:v>Reader knowledge never becomes character knowledge</x:v>
      </x:c>
      <x:c r="I11" s="385" t="str">
        <x:v>Asset state</x:v>
      </x:c>
      <x:c r="J11" s="385" t="str">
        <x:v>Fallback summary; game start remains available</x:v>
      </x:c>
      <x:c r="K11" s="385" t="str">
        <x:v>Unavailable/corrupt media</x:v>
      </x:c>
      <x:c r="L11" s="385" t="str">
        <x:v>Read/summarize/defer/skip</x:v>
      </x:c>
      <x:c r="M11" s="385" t="str">
        <x:v>ONB-001, ACC-001</x:v>
      </x:c>
      <x:c r="N11" s="385" t="str">
        <x:v>SCN-15, SCN-16</x:v>
      </x:c>
      <x:c r="O11" s="385" t="str">
        <x:v>CMP-02</x:v>
      </x:c>
      <x:c r="P11" s="385" t="str">
        <x:v>Blocking gate rejected</x:v>
      </x:c>
      <x:c r="Q11" s="417" t="str">
        <x:v>Approved</x:v>
      </x:c>
    </x:row>
    <x:row r="12" ht="64" customHeight="1">
      <x:c r="A12" s="382" t="str">
        <x:v>C3-MED-001</x:v>
      </x:c>
      <x:c r="B12" s="382" t="str">
        <x:v>Comic capture</x:v>
      </x:c>
      <x:c r="C12" s="382" t="str">
        <x:v>ComicCaptureRecord</x:v>
      </x:c>
      <x:c r="D12" s="382" t="str">
        <x:v>Engine → media</x:v>
      </x:c>
      <x:c r="E12" s="382" t="str">
        <x:v>Capture projection</x:v>
      </x:c>
      <x:c r="F12" s="382" t="str">
        <x:v>None</x:v>
      </x:c>
      <x:c r="G12" s="382" t="str">
        <x:v>comic-capture-source-lock.schema.json</x:v>
      </x:c>
      <x:c r="H12" s="382" t="str">
        <x:v>Selected viewpoint + ceiling</x:v>
      </x:c>
      <x:c r="I12" s="382" t="str">
        <x:v>Captured-through event checkpoint</x:v>
      </x:c>
      <x:c r="J12" s="382" t="str">
        <x:v>Lightweight and resumable</x:v>
      </x:c>
      <x:c r="K12" s="382" t="str">
        <x:v>Backlog/provider unavailable</x:v>
      </x:c>
      <x:c r="L12" s="382" t="str">
        <x:v>No foreground dependency</x:v>
      </x:c>
      <x:c r="M12" s="382" t="str">
        <x:v>MED-001, MED-002</x:v>
      </x:c>
      <x:c r="N12" s="382" t="str">
        <x:v>SCN-14</x:v>
      </x:c>
      <x:c r="O12" s="382" t="str">
        <x:v>CMP-34</x:v>
      </x:c>
      <x:c r="P12" s="382" t="str">
        <x:v>Canon-mutation gate rejected</x:v>
      </x:c>
      <x:c r="Q12" s="417" t="str">
        <x:v>Approved</x:v>
      </x:c>
    </x:row>
    <x:row r="13" ht="64" customHeight="1">
      <x:c r="A13" s="385" t="str">
        <x:v>C3-MED-002</x:v>
      </x:c>
      <x:c r="B13" s="385" t="str">
        <x:v>Comic review</x:v>
      </x:c>
      <x:c r="C13" s="385" t="str">
        <x:v>InflectionReview</x:v>
      </x:c>
      <x:c r="D13" s="385" t="str">
        <x:v>Engine ↔ UI</x:v>
      </x:c>
      <x:c r="E13" s="385" t="str">
        <x:v>Media coordinator</x:v>
      </x:c>
      <x:c r="F13" s="385" t="str">
        <x:v>None until Source Lock command</x:v>
      </x:c>
      <x:c r="G13" s="385" t="str">
        <x:v>comic-capture-source-lock.schema.json</x:v>
      </x:c>
      <x:c r="H13" s="385" t="str">
        <x:v>Eligible range + ceiling only</x:v>
      </x:c>
      <x:c r="I13" s="385" t="str">
        <x:v>Current state + event range</x:v>
      </x:c>
      <x:c r="J13" s="385" t="str">
        <x:v>Review may defer while play continues</x:v>
      </x:c>
      <x:c r="K13" s="385" t="str">
        <x:v>Decline/defer/unavailable</x:v>
      </x:c>
      <x:c r="L13" s="385" t="str">
        <x:v>Structured choices + free review notes</x:v>
      </x:c>
      <x:c r="M13" s="385" t="str">
        <x:v>MED-002, MED-003</x:v>
      </x:c>
      <x:c r="N13" s="385" t="str">
        <x:v>SCN-14</x:v>
      </x:c>
      <x:c r="O13" s="385" t="str">
        <x:v>CMP-34</x:v>
      </x:c>
      <x:c r="P13" s="385" t="str">
        <x:v>Hard/score/player/end triggers</x:v>
      </x:c>
      <x:c r="Q13" s="417" t="str">
        <x:v>Approved</x:v>
      </x:c>
    </x:row>
    <x:row r="14" ht="64" customHeight="1">
      <x:c r="A14" s="382" t="str">
        <x:v>C3-MED-003</x:v>
      </x:c>
      <x:c r="B14" s="382" t="str">
        <x:v>Source Lock</x:v>
      </x:c>
      <x:c r="C14" s="382" t="str">
        <x:v>SourceLockRecord</x:v>
      </x:c>
      <x:c r="D14" s="382" t="str">
        <x:v>Media → UI</x:v>
      </x:c>
      <x:c r="E14" s="382" t="str">
        <x:v>Media authority</x:v>
      </x:c>
      <x:c r="F14" s="382" t="str">
        <x:v>Adaptation input only</x:v>
      </x:c>
      <x:c r="G14" s="382" t="str">
        <x:v>comic-capture-source-lock.schema.json</x:v>
      </x:c>
      <x:c r="H14" s="382" t="str">
        <x:v>Immutable snapshot + Reader ceiling</x:v>
      </x:c>
      <x:c r="I14" s="382" t="str">
        <x:v>Exact canon state version</x:v>
      </x:c>
      <x:c r="J14" s="382" t="str">
        <x:v>Later events enter next window</x:v>
      </x:c>
      <x:c r="K14" s="382" t="str">
        <x:v>Missing snapshot/conflict</x:v>
      </x:c>
      <x:c r="L14" s="382" t="str">
        <x:v>Status + source range semantics</x:v>
      </x:c>
      <x:c r="M14" s="382" t="str">
        <x:v>MED-003, TIM-005</x:v>
      </x:c>
      <x:c r="N14" s="382" t="str">
        <x:v>SCN-14</x:v>
      </x:c>
      <x:c r="O14" s="382" t="str">
        <x:v>CMP-34</x:v>
      </x:c>
      <x:c r="P14" s="382" t="str">
        <x:v>Gameplay-freeze gate rejected</x:v>
      </x:c>
      <x:c r="Q14" s="417" t="str">
        <x:v>Approved</x:v>
      </x:c>
    </x:row>
    <x:row r="15" ht="64" customHeight="1">
      <x:c r="A15" s="385" t="str">
        <x:v>C3-MED-004</x:v>
      </x:c>
      <x:c r="B15" s="385" t="str">
        <x:v>Comic queue</x:v>
      </x:c>
      <x:c r="C15" s="385" t="str">
        <x:v>ComicJobRecord</x:v>
      </x:c>
      <x:c r="D15" s="385" t="str">
        <x:v>Media → UI</x:v>
      </x:c>
      <x:c r="E15" s="385" t="str">
        <x:v>Media job coordinator</x:v>
      </x:c>
      <x:c r="F15" s="385" t="str">
        <x:v>None</x:v>
      </x:c>
      <x:c r="G15" s="385" t="str">
        <x:v>comic-production-reader.schema.json</x:v>
      </x:c>
      <x:c r="H15" s="385" t="str">
        <x:v>Stage only; no hidden asset data</x:v>
      </x:c>
      <x:c r="I15" s="385" t="str">
        <x:v>Durable completed checkpoints</x:v>
      </x:c>
      <x:c r="J15" s="385" t="str">
        <x:v>Resume nearest valid stage</x:v>
      </x:c>
      <x:c r="K15" s="385" t="str">
        <x:v>Blocked/provider/manual recovery</x:v>
      </x:c>
      <x:c r="L15" s="385" t="str">
        <x:v>Honest stage status</x:v>
      </x:c>
      <x:c r="M15" s="385" t="str">
        <x:v>MED-004, ACC-002</x:v>
      </x:c>
      <x:c r="N15" s="385" t="str">
        <x:v>SCN-14</x:v>
      </x:c>
      <x:c r="O15" s="385" t="str">
        <x:v>CMP-34</x:v>
      </x:c>
      <x:c r="P15" s="385" t="str">
        <x:v>Percentage/ETA gates rejected</x:v>
      </x:c>
      <x:c r="Q15" s="417" t="str">
        <x:v>Approved</x:v>
      </x:c>
    </x:row>
    <x:row r="16" ht="64" customHeight="1">
      <x:c r="A16" s="382" t="str">
        <x:v>C3-MED-005</x:v>
      </x:c>
      <x:c r="B16" s="382" t="str">
        <x:v>Comic reader</x:v>
      </x:c>
      <x:c r="C16" s="382" t="str">
        <x:v>ComicReaderRecord</x:v>
      </x:c>
      <x:c r="D16" s="382" t="str">
        <x:v>Media → UI</x:v>
      </x:c>
      <x:c r="E16" s="382" t="str">
        <x:v>Publication projection</x:v>
      </x:c>
      <x:c r="F16" s="382" t="str">
        <x:v>None</x:v>
      </x:c>
      <x:c r="G16" s="382" t="str">
        <x:v>comic-production-reader.schema.json</x:v>
      </x:c>
      <x:c r="H16" s="382" t="str">
        <x:v>Reader ceiling + passed pages only</x:v>
      </x:c>
      <x:c r="I16" s="382" t="str">
        <x:v>Edition + source-lock version</x:v>
      </x:c>
      <x:c r="J16" s="382" t="str">
        <x:v>Reader position only may be optimistic</x:v>
      </x:c>
      <x:c r="K16" s="382" t="str">
        <x:v>WIP/review/superseded</x:v>
      </x:c>
      <x:c r="L16" s="382" t="str">
        <x:v>Reading order + knowledge-safe alt text</x:v>
      </x:c>
      <x:c r="M16" s="382" t="str">
        <x:v>MED-005, ACC-001</x:v>
      </x:c>
      <x:c r="N16" s="382" t="str">
        <x:v>SCN-14, SCN-16</x:v>
      </x:c>
      <x:c r="O16" s="382" t="str">
        <x:v>CMP-35</x:v>
      </x:c>
      <x:c r="P16" s="382" t="str">
        <x:v>WIP/QA gates rejected</x:v>
      </x:c>
      <x:c r="Q16" s="417" t="str">
        <x:v>Approved</x:v>
      </x:c>
    </x:row>
    <x:row r="17" ht="64" customHeight="1">
      <x:c r="A17" s="385" t="str">
        <x:v>C3-MED-006</x:v>
      </x:c>
      <x:c r="B17" s="385" t="str">
        <x:v>Edition history</x:v>
      </x:c>
      <x:c r="C17" s="385" t="str">
        <x:v>EditionHistory</x:v>
      </x:c>
      <x:c r="D17" s="385" t="str">
        <x:v>Media → UI</x:v>
      </x:c>
      <x:c r="E17" s="385" t="str">
        <x:v>Publication service</x:v>
      </x:c>
      <x:c r="F17" s="385" t="str">
        <x:v>None</x:v>
      </x:c>
      <x:c r="G17" s="385" t="str">
        <x:v>comic-production-reader.schema.json</x:v>
      </x:c>
      <x:c r="H17" s="385" t="str">
        <x:v>Correction summary remains viewpoint safe</x:v>
      </x:c>
      <x:c r="I17" s="385" t="str">
        <x:v>Immutable editions</x:v>
      </x:c>
      <x:c r="J17" s="385" t="str">
        <x:v>New superseding edition only</x:v>
      </x:c>
      <x:c r="K17" s="385" t="str">
        <x:v>Correction/export conflict</x:v>
      </x:c>
      <x:c r="L17" s="385" t="str">
        <x:v>Navigable history</x:v>
      </x:c>
      <x:c r="M17" s="385" t="str">
        <x:v>MED-006, AUD-001</x:v>
      </x:c>
      <x:c r="N17" s="385" t="str">
        <x:v>SCN-14</x:v>
      </x:c>
      <x:c r="O17" s="385" t="str">
        <x:v>CMP-35</x:v>
      </x:c>
      <x:c r="P17" s="385" t="str">
        <x:v>Overwrite gate rejected</x:v>
      </x:c>
      <x:c r="Q17" s="417" t="str">
        <x:v>Approved</x:v>
      </x:c>
    </x:row>
    <x:row r="18" ht="64" customHeight="1">
      <x:c r="A18" s="382" t="str">
        <x:v>C3-MED-007</x:v>
      </x:c>
      <x:c r="B18" s="382" t="str">
        <x:v>Media provenance</x:v>
      </x:c>
      <x:c r="C18" s="382" t="str">
        <x:v>MediaAssetManifest</x:v>
      </x:c>
      <x:c r="D18" s="382" t="str">
        <x:v>Media protected audit</x:v>
      </x:c>
      <x:c r="E18" s="382" t="str">
        <x:v>Media provenance service</x:v>
      </x:c>
      <x:c r="F18" s="382" t="str">
        <x:v>None</x:v>
      </x:c>
      <x:c r="G18" s="382" t="str">
        <x:v>media-provenance.schema.json</x:v>
      </x:c>
      <x:c r="H18" s="382" t="str">
        <x:v>Protected audit; not public payload</x:v>
      </x:c>
      <x:c r="I18" s="382" t="str">
        <x:v>Content hash + asset lineage</x:v>
      </x:c>
      <x:c r="J18" s="382" t="str">
        <x:v>Accepted bytes retained</x:v>
      </x:c>
      <x:c r="K18" s="382" t="str">
        <x:v>QA/rights/provider block</x:v>
      </x:c>
      <x:c r="L18" s="382" t="str">
        <x:v>Accessible audit labels</x:v>
      </x:c>
      <x:c r="M18" s="382" t="str">
        <x:v>MED-004, AUD-001</x:v>
      </x:c>
      <x:c r="N18" s="382" t="str">
        <x:v>SCN-14</x:v>
      </x:c>
      <x:c r="O18" s="382" t="str">
        <x:v>CMP-34, CMP-35</x:v>
      </x:c>
      <x:c r="P18" s="382" t="str">
        <x:v>Retained-bytes gate rejected</x:v>
      </x:c>
      <x:c r="Q18" s="417" t="str">
        <x:v>Approved</x:v>
      </x:c>
    </x:row>
    <x:row r="19" ht="64" customHeight="1">
      <x:c r="A19" s="385" t="str">
        <x:v>C3-MED-008</x:v>
      </x:c>
      <x:c r="B19" s="385" t="str">
        <x:v>Publication accessibility</x:v>
      </x:c>
      <x:c r="C19" s="385" t="str">
        <x:v>AccessiblePublicationPackage</x:v>
      </x:c>
      <x:c r="D19" s="385" t="str">
        <x:v>Media → reader</x:v>
      </x:c>
      <x:c r="E19" s="385" t="str">
        <x:v>Publication service</x:v>
      </x:c>
      <x:c r="F19" s="385" t="str">
        <x:v>None</x:v>
      </x:c>
      <x:c r="G19" s="385" t="str">
        <x:v>media-provenance.schema.json</x:v>
      </x:c>
      <x:c r="H19" s="385" t="str">
        <x:v>Alt/transcripts obey Reader ceiling</x:v>
      </x:c>
      <x:c r="I19" s="385" t="str">
        <x:v>Edition + locale version</x:v>
      </x:c>
      <x:c r="J19" s="385" t="str">
        <x:v>Package regenerated without canon change</x:v>
      </x:c>
      <x:c r="K19" s="385" t="str">
        <x:v>Missing transcript/glyph/structure</x:v>
      </x:c>
      <x:c r="L19" s="385" t="str">
        <x:v>Alt text, transcript, navigation</x:v>
      </x:c>
      <x:c r="M19" s="385" t="str">
        <x:v>ACC-001, MED-005</x:v>
      </x:c>
      <x:c r="N19" s="385" t="str">
        <x:v>SCN-14, SCN-16</x:v>
      </x:c>
      <x:c r="O19" s="385" t="str">
        <x:v>CMP-35, CMP-39</x:v>
      </x:c>
      <x:c r="P19" s="385" t="str">
        <x:v>Positive accessible package fixture</x:v>
      </x:c>
      <x:c r="Q19" s="417" t="str">
        <x:v>Approved</x:v>
      </x:c>
    </x:row>
    <x:row r="20" ht="64" customHeight="1">
      <x:c r="A20" s="382" t="str">
        <x:v>C3-CMD-001</x:v>
      </x:c>
      <x:c r="B20" s="382" t="str">
        <x:v>Recovery</x:v>
      </x:c>
      <x:c r="C20" s="382" t="str">
        <x:v>AcknowledgeRecovery / RetryRecovery</x:v>
      </x:c>
      <x:c r="D20" s="382" t="str">
        <x:v>UI → recovery</x:v>
      </x:c>
      <x:c r="E20" s="382" t="str">
        <x:v>Recovery coordinator</x:v>
      </x:c>
      <x:c r="F20" s="382" t="str">
        <x:v>Recovery state only</x:v>
      </x:c>
      <x:c r="G20" s="382" t="str">
        <x:v>async-media.schema.json</x:v>
      </x:c>
      <x:c r="H20" s="382" t="str">
        <x:v>No hidden diagnostics</x:v>
      </x:c>
      <x:c r="I20" s="382" t="str">
        <x:v>Expected checkpoint</x:v>
      </x:c>
      <x:c r="J20" s="382" t="str">
        <x:v>Idempotent; preserve queue</x:v>
      </x:c>
      <x:c r="K20" s="382" t="str">
        <x:v>Conflict/provider/unknown</x:v>
      </x:c>
      <x:c r="L20" s="382" t="str">
        <x:v>Action result announced</x:v>
      </x:c>
      <x:c r="M20" s="382" t="str">
        <x:v>ACC-002, TIM-005</x:v>
      </x:c>
      <x:c r="N20" s="382" t="str">
        <x:v>SCN-14, SCN-16</x:v>
      </x:c>
      <x:c r="O20" s="382" t="str">
        <x:v>CMP-38</x:v>
      </x:c>
      <x:c r="P20" s="382" t="str">
        <x:v>Command fixtures validate</x:v>
      </x:c>
      <x:c r="Q20" s="417" t="str">
        <x:v>Approved</x:v>
      </x:c>
    </x:row>
    <x:row r="21" ht="64" customHeight="1">
      <x:c r="A21" s="385" t="str">
        <x:v>C3-CMD-002</x:v>
      </x:c>
      <x:c r="B21" s="385" t="str">
        <x:v>Preferences</x:v>
      </x:c>
      <x:c r="C21" s="385" t="str">
        <x:v>Update accessibility/content/localization</x:v>
      </x:c>
      <x:c r="D21" s="385" t="str">
        <x:v>UI → profile</x:v>
      </x:c>
      <x:c r="E21" s="385" t="str">
        <x:v>Preference services</x:v>
      </x:c>
      <x:c r="F21" s="385" t="str">
        <x:v>Presentation state only</x:v>
      </x:c>
      <x:c r="G21" s="385" t="str">
        <x:v>async-media.schema.json</x:v>
      </x:c>
      <x:c r="H21" s="385" t="str">
        <x:v>Explicit user-owned settings</x:v>
      </x:c>
      <x:c r="I21" s="385" t="str">
        <x:v>Profile version</x:v>
      </x:c>
      <x:c r="J21" s="385" t="str">
        <x:v>Reversible after receipt</x:v>
      </x:c>
      <x:c r="K21" s="385" t="str">
        <x:v>Validation/conflict</x:v>
      </x:c>
      <x:c r="L21" s="385" t="str">
        <x:v>All controls labeled</x:v>
      </x:c>
      <x:c r="M21" s="385" t="str">
        <x:v>ACC-001, ACC-004</x:v>
      </x:c>
      <x:c r="N21" s="385" t="str">
        <x:v>SCN-15, SCN-16</x:v>
      </x:c>
      <x:c r="O21" s="385" t="str">
        <x:v>CMP-39</x:v>
      </x:c>
      <x:c r="P21" s="385" t="str">
        <x:v>Three command fixtures validate</x:v>
      </x:c>
      <x:c r="Q21" s="417" t="str">
        <x:v>Approved</x:v>
      </x:c>
    </x:row>
    <x:row r="22" ht="64" customHeight="1">
      <x:c r="A22" s="382" t="str">
        <x:v>C3-CMD-003</x:v>
      </x:c>
      <x:c r="B22" s="382" t="str">
        <x:v>Comic review</x:v>
      </x:c>
      <x:c r="C22" s="382" t="str">
        <x:v>ReviewComicInflection</x:v>
      </x:c>
      <x:c r="D22" s="382" t="str">
        <x:v>UI → media</x:v>
      </x:c>
      <x:c r="E22" s="382" t="str">
        <x:v>Media coordinator</x:v>
      </x:c>
      <x:c r="F22" s="382" t="str">
        <x:v>None</x:v>
      </x:c>
      <x:c r="G22" s="382" t="str">
        <x:v>async-media.schema.json</x:v>
      </x:c>
      <x:c r="H22" s="382" t="str">
        <x:v>Selected safe range/ceiling</x:v>
      </x:c>
      <x:c r="I22" s="382" t="str">
        <x:v>Reviewed state version</x:v>
      </x:c>
      <x:c r="J22" s="382" t="str">
        <x:v>Defer/decline remain nonblocking</x:v>
      </x:c>
      <x:c r="K22" s="382" t="str">
        <x:v>Stale review</x:v>
      </x:c>
      <x:c r="L22" s="382" t="str">
        <x:v>Structured decision semantics</x:v>
      </x:c>
      <x:c r="M22" s="382" t="str">
        <x:v>MED-002, MED-003</x:v>
      </x:c>
      <x:c r="N22" s="382" t="str">
        <x:v>SCN-14</x:v>
      </x:c>
      <x:c r="O22" s="382" t="str">
        <x:v>CMP-34</x:v>
      </x:c>
      <x:c r="P22" s="382" t="str">
        <x:v>Review fixture validates</x:v>
      </x:c>
      <x:c r="Q22" s="417" t="str">
        <x:v>Approved</x:v>
      </x:c>
    </x:row>
    <x:row r="23" ht="64" customHeight="1">
      <x:c r="A23" s="385" t="str">
        <x:v>C3-CMD-004</x:v>
      </x:c>
      <x:c r="B23" s="385" t="str">
        <x:v>Source Lock</x:v>
      </x:c>
      <x:c r="C23" s="385" t="str">
        <x:v>CreateComicSourceLock</x:v>
      </x:c>
      <x:c r="D23" s="385" t="str">
        <x:v>UI → media</x:v>
      </x:c>
      <x:c r="E23" s="385" t="str">
        <x:v>Media authority</x:v>
      </x:c>
      <x:c r="F23" s="385" t="str">
        <x:v>Adaptation boundary</x:v>
      </x:c>
      <x:c r="G23" s="385" t="str">
        <x:v>async-media.schema.json</x:v>
      </x:c>
      <x:c r="H23" s="385" t="str">
        <x:v>Snapshot + ceiling required</x:v>
      </x:c>
      <x:c r="I23" s="385" t="str">
        <x:v>Exact canon state</x:v>
      </x:c>
      <x:c r="J23" s="385" t="str">
        <x:v>Idempotent create</x:v>
      </x:c>
      <x:c r="K23" s="385" t="str">
        <x:v>Conflict/missing snapshot</x:v>
      </x:c>
      <x:c r="L23" s="385" t="str">
        <x:v>Consequential confirmation</x:v>
      </x:c>
      <x:c r="M23" s="385" t="str">
        <x:v>MED-003, TIM-005</x:v>
      </x:c>
      <x:c r="N23" s="385" t="str">
        <x:v>SCN-14</x:v>
      </x:c>
      <x:c r="O23" s="385" t="str">
        <x:v>CMP-34</x:v>
      </x:c>
      <x:c r="P23" s="385" t="str">
        <x:v>Source-lock command validates</x:v>
      </x:c>
      <x:c r="Q23" s="417" t="str">
        <x:v>Approved</x:v>
      </x:c>
    </x:row>
    <x:row r="24" ht="64" customHeight="1">
      <x:c r="A24" s="382" t="str">
        <x:v>C3-CMD-005</x:v>
      </x:c>
      <x:c r="B24" s="382" t="str">
        <x:v>WIP + recovery</x:v>
      </x:c>
      <x:c r="C24" s="382" t="str">
        <x:v>SetComicWipPolicy / RequestComicJobRecovery</x:v>
      </x:c>
      <x:c r="D24" s="382" t="str">
        <x:v>UI → media</x:v>
      </x:c>
      <x:c r="E24" s="382" t="str">
        <x:v>Profile + job services</x:v>
      </x:c>
      <x:c r="F24" s="382" t="str">
        <x:v>Media state only</x:v>
      </x:c>
      <x:c r="G24" s="382" t="str">
        <x:v>async-media.schema.json</x:v>
      </x:c>
      <x:c r="H24" s="382" t="str">
        <x:v>WIP opt-in; protected checkpoints</x:v>
      </x:c>
      <x:c r="I24" s="382" t="str">
        <x:v>Profile/job checkpoint</x:v>
      </x:c>
      <x:c r="J24" s="382" t="str">
        <x:v>Preserve completed work</x:v>
      </x:c>
      <x:c r="K24" s="382" t="str">
        <x:v>Provider/manual/cancel</x:v>
      </x:c>
      <x:c r="L24" s="382" t="str">
        <x:v>Explicit opt-in + recovery actions</x:v>
      </x:c>
      <x:c r="M24" s="382" t="str">
        <x:v>MED-004, ACC-002</x:v>
      </x:c>
      <x:c r="N24" s="382" t="str">
        <x:v>SCN-14, SCN-16</x:v>
      </x:c>
      <x:c r="O24" s="382" t="str">
        <x:v>CMP-34</x:v>
      </x:c>
      <x:c r="P24" s="382" t="str">
        <x:v>WIP/recovery commands validate</x:v>
      </x:c>
      <x:c r="Q24" s="417" t="str">
        <x:v>Approved</x:v>
      </x:c>
    </x:row>
    <x:row r="25" ht="64" customHeight="1">
      <x:c r="A25" s="385" t="str">
        <x:v>C3-CMD-006</x:v>
      </x:c>
      <x:c r="B25" s="385" t="str">
        <x:v>QA + publication</x:v>
      </x:c>
      <x:c r="C25" s="385" t="str">
        <x:v>QA disposition / publish / correction</x:v>
      </x:c>
      <x:c r="D25" s="385" t="str">
        <x:v>UI → media</x:v>
      </x:c>
      <x:c r="E25" s="385" t="str">
        <x:v>QA + publication services</x:v>
      </x:c>
      <x:c r="F25" s="385" t="str">
        <x:v>Publication only</x:v>
      </x:c>
      <x:c r="G25" s="385" t="str">
        <x:v>async-media.schema.json</x:v>
      </x:c>
      <x:c r="H25" s="385" t="str">
        <x:v>Hard gates + ceiling + rights</x:v>
      </x:c>
      <x:c r="I25" s="385" t="str">
        <x:v>Asset/edition versions</x:v>
      </x:c>
      <x:c r="J25" s="385" t="str">
        <x:v>No silent overwrite</x:v>
      </x:c>
      <x:c r="K25" s="385" t="str">
        <x:v>Reject/block/supersede</x:v>
      </x:c>
      <x:c r="L25" s="385" t="str">
        <x:v>QA and history semantics</x:v>
      </x:c>
      <x:c r="M25" s="385" t="str">
        <x:v>MED-005, MED-006</x:v>
      </x:c>
      <x:c r="N25" s="385" t="str">
        <x:v>SCN-14, SCN-16</x:v>
      </x:c>
      <x:c r="O25" s="385" t="str">
        <x:v>CMP-35</x:v>
      </x:c>
      <x:c r="P25" s="385" t="str">
        <x:v>Three command fixtures validate</x:v>
      </x:c>
      <x:c r="Q25" s="417" t="str">
        <x:v>Approved</x:v>
      </x:c>
    </x:row>
    <x:row r="26" ht="64" customHeight="1">
      <x:c r="A26" s="382" t="str">
        <x:v>C3-EVT-001</x:v>
      </x:c>
      <x:c r="B26" s="382" t="str">
        <x:v>Recovery events</x:v>
      </x:c>
      <x:c r="C26" s="382" t="str">
        <x:v>Connectivity / save / recovery</x:v>
      </x:c>
      <x:c r="D26" s="382" t="str">
        <x:v>Engine → UI</x:v>
      </x:c>
      <x:c r="E26" s="382" t="str">
        <x:v>Recovery event stream</x:v>
      </x:c>
      <x:c r="F26" s="382" t="str">
        <x:v>None</x:v>
      </x:c>
      <x:c r="G26" s="382" t="str">
        <x:v>async-media.schema.json</x:v>
      </x:c>
      <x:c r="H26" s="382" t="str">
        <x:v>Public recovery state only</x:v>
      </x:c>
      <x:c r="I26" s="382" t="str">
        <x:v>Ordered state versions</x:v>
      </x:c>
      <x:c r="J26" s="382" t="str">
        <x:v>Resume and dedupe</x:v>
      </x:c>
      <x:c r="K26" s="382" t="str">
        <x:v>Conflict/provider</x:v>
      </x:c>
      <x:c r="L26" s="382" t="str">
        <x:v>Polite/assertive announcements</x:v>
      </x:c>
      <x:c r="M26" s="382" t="str">
        <x:v>ACC-002, ACC-003</x:v>
      </x:c>
      <x:c r="N26" s="382" t="str">
        <x:v>SCN-14, SCN-16</x:v>
      </x:c>
      <x:c r="O26" s="382" t="str">
        <x:v>CMP-38, CMP-40</x:v>
      </x:c>
      <x:c r="P26" s="382" t="str">
        <x:v>Three event fixtures validate</x:v>
      </x:c>
      <x:c r="Q26" s="417" t="str">
        <x:v>Approved</x:v>
      </x:c>
    </x:row>
    <x:row r="27" ht="64" customHeight="1">
      <x:c r="A27" s="385" t="str">
        <x:v>C3-EVT-002</x:v>
      </x:c>
      <x:c r="B27" s="385" t="str">
        <x:v>Preference events</x:v>
      </x:c>
      <x:c r="C27" s="385" t="str">
        <x:v>Accessibility / content controls</x:v>
      </x:c>
      <x:c r="D27" s="385" t="str">
        <x:v>Profile → UI</x:v>
      </x:c>
      <x:c r="E27" s="385" t="str">
        <x:v>Profile event stream</x:v>
      </x:c>
      <x:c r="F27" s="385" t="str">
        <x:v>None</x:v>
      </x:c>
      <x:c r="G27" s="385" t="str">
        <x:v>async-media.schema.json</x:v>
      </x:c>
      <x:c r="H27" s="385" t="str">
        <x:v>No sensitive inference</x:v>
      </x:c>
      <x:c r="I27" s="385" t="str">
        <x:v>Profile version</x:v>
      </x:c>
      <x:c r="J27" s="385" t="str">
        <x:v>UI reapplies semantic state</x:v>
      </x:c>
      <x:c r="K27" s="385" t="str">
        <x:v>Invalid preference</x:v>
      </x:c>
      <x:c r="L27" s="385" t="str">
        <x:v>Semantic update required</x:v>
      </x:c>
      <x:c r="M27" s="385" t="str">
        <x:v>ACC-001, ACC-004</x:v>
      </x:c>
      <x:c r="N27" s="385" t="str">
        <x:v>SCN-15, SCN-16</x:v>
      </x:c>
      <x:c r="O27" s="385" t="str">
        <x:v>CMP-39</x:v>
      </x:c>
      <x:c r="P27" s="385" t="str">
        <x:v>Two event fixtures validate</x:v>
      </x:c>
      <x:c r="Q27" s="417" t="str">
        <x:v>Approved</x:v>
      </x:c>
    </x:row>
    <x:row r="28" ht="64" customHeight="1">
      <x:c r="A28" s="382" t="str">
        <x:v>C3-EVT-003</x:v>
      </x:c>
      <x:c r="B28" s="382" t="str">
        <x:v>Capture events</x:v>
      </x:c>
      <x:c r="C28" s="382" t="str">
        <x:v>Capture / Inflection / Source Lock</x:v>
      </x:c>
      <x:c r="D28" s="382" t="str">
        <x:v>Media → UI</x:v>
      </x:c>
      <x:c r="E28" s="382" t="str">
        <x:v>Media event stream</x:v>
      </x:c>
      <x:c r="F28" s="382" t="str">
        <x:v>Adaptation input only</x:v>
      </x:c>
      <x:c r="G28" s="382" t="str">
        <x:v>async-media.schema.json</x:v>
      </x:c>
      <x:c r="H28" s="382" t="str">
        <x:v>Viewpoint safe</x:v>
      </x:c>
      <x:c r="I28" s="382" t="str">
        <x:v>Event range + snapshot</x:v>
      </x:c>
      <x:c r="J28" s="382" t="str">
        <x:v>Play continues</x:v>
      </x:c>
      <x:c r="K28" s="382" t="str">
        <x:v>Stale/missing snapshot</x:v>
      </x:c>
      <x:c r="L28" s="382" t="str">
        <x:v>Stage announcements</x:v>
      </x:c>
      <x:c r="M28" s="382" t="str">
        <x:v>MED-001, MED-003</x:v>
      </x:c>
      <x:c r="N28" s="382" t="str">
        <x:v>SCN-14</x:v>
      </x:c>
      <x:c r="O28" s="382" t="str">
        <x:v>CMP-34</x:v>
      </x:c>
      <x:c r="P28" s="382" t="str">
        <x:v>Three event fixtures validate</x:v>
      </x:c>
      <x:c r="Q28" s="417" t="str">
        <x:v>Approved</x:v>
      </x:c>
    </x:row>
    <x:row r="29" ht="64" customHeight="1">
      <x:c r="A29" s="385" t="str">
        <x:v>C3-EVT-004</x:v>
      </x:c>
      <x:c r="B29" s="385" t="str">
        <x:v>Production events</x:v>
      </x:c>
      <x:c r="C29" s="385" t="str">
        <x:v>Job / review / publish / supersede</x:v>
      </x:c>
      <x:c r="D29" s="385" t="str">
        <x:v>Media → UI</x:v>
      </x:c>
      <x:c r="E29" s="385" t="str">
        <x:v>Media event stream</x:v>
      </x:c>
      <x:c r="F29" s="385" t="str">
        <x:v>Publication only</x:v>
      </x:c>
      <x:c r="G29" s="385" t="str">
        <x:v>async-media.schema.json</x:v>
      </x:c>
      <x:c r="H29" s="385" t="str">
        <x:v>Stage/edition facts only</x:v>
      </x:c>
      <x:c r="I29" s="385" t="str">
        <x:v>Job + edition lineage</x:v>
      </x:c>
      <x:c r="J29" s="385" t="str">
        <x:v>Durable dedupe</x:v>
      </x:c>
      <x:c r="K29" s="385" t="str">
        <x:v>Blocked/review/correction</x:v>
      </x:c>
      <x:c r="L29" s="385" t="str">
        <x:v>Status, review and history semantics</x:v>
      </x:c>
      <x:c r="M29" s="385" t="str">
        <x:v>MED-004, MED-006</x:v>
      </x:c>
      <x:c r="N29" s="385" t="str">
        <x:v>SCN-14, SCN-16</x:v>
      </x:c>
      <x:c r="O29" s="385" t="str">
        <x:v>CMP-34, CMP-35</x:v>
      </x:c>
      <x:c r="P29" s="385" t="str">
        <x:v>Four event fixtures validate</x:v>
      </x:c>
      <x:c r="Q29" s="417" t="str">
        <x:v>Approved</x:v>
      </x:c>
    </x:row>
    <x:row r="30" ht="64" customHeight="1">
      <x:c r="A30" s="382" t="str">
        <x:v>C3-ANA-001</x:v>
      </x:c>
      <x:c r="B30" s="382" t="str">
        <x:v>Analytics</x:v>
      </x:c>
      <x:c r="C30" s="382" t="str">
        <x:v>PrivacySafeAnalyticsEvent</x:v>
      </x:c>
      <x:c r="D30" s="382" t="str">
        <x:v>UI → telemetry</x:v>
      </x:c>
      <x:c r="E30" s="382" t="str">
        <x:v>Telemetry boundary</x:v>
      </x:c>
      <x:c r="F30" s="382" t="str">
        <x:v>None</x:v>
      </x:c>
      <x:c r="G30" s="382" t="str">
        <x:v>privacy-safe-analytics.schema.json</x:v>
      </x:c>
      <x:c r="H30" s="382" t="str">
        <x:v>No prose, private canon, prompts, dialogue or bytes</x:v>
      </x:c>
      <x:c r="I30" s="382" t="str">
        <x:v>Contract ref only</x:v>
      </x:c>
      <x:c r="J30" s="382" t="str">
        <x:v>Never alters play</x:v>
      </x:c>
      <x:c r="K30" s="382" t="str">
        <x:v>Consent/retention mismatch</x:v>
      </x:c>
      <x:c r="L30" s="382" t="str">
        <x:v>No player-facing dependency</x:v>
      </x:c>
      <x:c r="M30" s="382" t="str">
        <x:v>AUD-002, ACC-003</x:v>
      </x:c>
      <x:c r="N30" s="382" t="str">
        <x:v>SCN-16</x:v>
      </x:c>
      <x:c r="O30" s="382" t="str">
        <x:v>CMP-39</x:v>
      </x:c>
      <x:c r="P30" s="382" t="str">
        <x:v>Player-content gate rejected</x:v>
      </x:c>
      <x:c r="Q30" s="417" t="str">
        <x:v>Approved</x:v>
      </x:c>
    </x:row>
    <x:row r="31" ht="64" customHeight="1">
      <x:c r="A31" s="385" t="str">
        <x:v>C3-API-001</x:v>
      </x:c>
      <x:c r="B31" s="385" t="str">
        <x:v>Synchronous API</x:v>
      </x:c>
      <x:c r="C31" s="385" t="str">
        <x:v>14 viewpoint-safe reads</x:v>
      </x:c>
      <x:c r="D31" s="385" t="str">
        <x:v>Engine/media → UI</x:v>
      </x:c>
      <x:c r="E31" s="385" t="str">
        <x:v>Projection services</x:v>
      </x:c>
      <x:c r="F31" s="385" t="str">
        <x:v>None</x:v>
      </x:c>
      <x:c r="G31" s="385" t="str">
        <x:v>mythic-ui-c3.yaml</x:v>
      </x:c>
      <x:c r="H31" s="385" t="str">
        <x:v>Campaign + viewpoint scoped</x:v>
      </x:c>
      <x:c r="I31" s="385" t="str">
        <x:v>C1 read envelopes</x:v>
      </x:c>
      <x:c r="J31" s="385" t="str">
        <x:v>Freshness explicit</x:v>
      </x:c>
      <x:c r="K31" s="385" t="str">
        <x:v>404/409/recovery</x:v>
      </x:c>
      <x:c r="L31" s="385" t="str">
        <x:v>Semantic companions required</x:v>
      </x:c>
      <x:c r="M31" s="385" t="str">
        <x:v>FND-003, ACC-001</x:v>
      </x:c>
      <x:c r="N31" s="385" t="str">
        <x:v>SCN-14–16</x:v>
      </x:c>
      <x:c r="O31" s="385" t="str">
        <x:v>CMP-34–40</x:v>
      </x:c>
      <x:c r="P31" s="385" t="str">
        <x:v>OpenAPI ref validation</x:v>
      </x:c>
      <x:c r="Q31" s="417" t="str">
        <x:v>Approved</x:v>
      </x:c>
    </x:row>
    <x:row r="32" ht="64" customHeight="1">
      <x:c r="A32" s="382" t="str">
        <x:v>C3-API-002</x:v>
      </x:c>
      <x:c r="B32" s="382" t="str">
        <x:v>Synchronous API</x:v>
      </x:c>
      <x:c r="C32" s="382" t="str">
        <x:v>12 idempotent commands</x:v>
      </x:c>
      <x:c r="D32" s="382" t="str">
        <x:v>UI → services</x:v>
      </x:c>
      <x:c r="E32" s="382" t="str">
        <x:v>Command gateway</x:v>
      </x:c>
      <x:c r="F32" s="382" t="str">
        <x:v>By owned service only</x:v>
      </x:c>
      <x:c r="G32" s="382" t="str">
        <x:v>mythic-ui-c3.yaml</x:v>
      </x:c>
      <x:c r="H32" s="382" t="str">
        <x:v>C1 command envelope</x:v>
      </x:c>
      <x:c r="I32" s="382" t="str">
        <x:v>Reviewed state/knowledge</x:v>
      </x:c>
      <x:c r="J32" s="382" t="str">
        <x:v>Status lookup before retry</x:v>
      </x:c>
      <x:c r="K32" s="382" t="str">
        <x:v>Rejected/conflict/unknown</x:v>
      </x:c>
      <x:c r="L32" s="382" t="str">
        <x:v>Receipt semantics</x:v>
      </x:c>
      <x:c r="M32" s="382" t="str">
        <x:v>TIM-005, ACC-002</x:v>
      </x:c>
      <x:c r="N32" s="382" t="str">
        <x:v>SCN-14–16</x:v>
      </x:c>
      <x:c r="O32" s="382" t="str">
        <x:v>CMP-34–40</x:v>
      </x:c>
      <x:c r="P32" s="382" t="str">
        <x:v>26 unique operations</x:v>
      </x:c>
      <x:c r="Q32" s="417" t="str">
        <x:v>Approved</x:v>
      </x:c>
    </x:row>
    <x:row r="33" ht="64" customHeight="1">
      <x:c r="A33" s="386" t="str">
        <x:v>C3-GEN-001</x:v>
      </x:c>
      <x:c r="B33" s="386" t="str">
        <x:v>Generation</x:v>
      </x:c>
      <x:c r="C33" s="386" t="str">
        <x:v>C1 + C2 + C3 generated-consumer policy</x:v>
      </x:c>
      <x:c r="D33" s="386" t="str">
        <x:v>Schema → consumers</x:v>
      </x:c>
      <x:c r="E33" s="386" t="str">
        <x:v>Build system (C4)</x:v>
      </x:c>
      <x:c r="F33" s="386" t="str">
        <x:v>None</x:v>
      </x:c>
      <x:c r="G33" s="386" t="str">
        <x:v>generation-policy.json</x:v>
      </x:c>
      <x:c r="H33" s="386" t="str">
        <x:v>Consumers cannot add hidden/private fields</x:v>
      </x:c>
      <x:c r="I33" s="386" t="str">
        <x:v>Approved schema versions</x:v>
      </x:c>
      <x:c r="J33" s="386" t="str">
        <x:v>Drift fails CI</x:v>
      </x:c>
      <x:c r="K33" s="386" t="str">
        <x:v>Generation mismatch</x:v>
      </x:c>
      <x:c r="L33" s="386" t="str">
        <x:v>Semantic data remains typed</x:v>
      </x:c>
      <x:c r="M33" s="386" t="str">
        <x:v>FND-003, ACC-003</x:v>
      </x:c>
      <x:c r="N33" s="386" t="str">
        <x:v>SCN-16</x:v>
      </x:c>
      <x:c r="O33" s="386" t="str">
        <x:v>CMP-01–40</x:v>
      </x:c>
      <x:c r="P33" s="386" t="str">
        <x:v>Policy + schema-ref validation</x:v>
      </x:c>
      <x:c r="Q33" s="418" t="str">
        <x:v>Approved</x:v>
      </x:c>
    </x:row>
  </x:sheetData>
  <x:mergeCells>
    <x:mergeCell ref="A1:Q1"/>
    <x:mergeCell ref="A2:Q2"/>
  </x:mergeCells>
  <x:dataValidations count="1">
    <x:dataValidation type="list" sqref="Q5:Q33">
      <x:formula1>"Candidate,Approved,Rejected,Rework"</x:formula1>
    </x:dataValidation>
  </x:dataValidation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defaultRowHeight="15"/>
  <x:cols>
    <x:col min="1" max="1" width="47" hidden="0" customWidth="1"/>
    <x:col min="2" max="2" width="12" hidden="0" customWidth="1"/>
    <x:col min="3" max="3" width="46" hidden="0" customWidth="1"/>
    <x:col min="4" max="4" width="24" hidden="0" customWidth="1"/>
    <x:col min="5" max="5" width="12" hidden="0" customWidth="1"/>
    <x:col min="6" max="6" width="30" hidden="0" customWidth="1"/>
    <x:col min="7" max="7" width="56" hidden="0" customWidth="1"/>
    <x:col min="8" max="8" width="34" hidden="0" customWidth="1"/>
  </x:cols>
  <x:sheetData>
    <x:row r="1" ht="30" customHeight="1">
      <x:c r="A1" s="328" t="str">
        <x:v>CHECKPOINT C3 • EXECUTABLE FIXTURE COVERAGE</x:v>
      </x:c>
      <x:c r="B1" s="328"/>
      <x:c r="C1" s="328"/>
      <x:c r="D1" s="328"/>
      <x:c r="E1" s="328"/>
      <x:c r="F1" s="328"/>
      <x:c r="G1" s="328"/>
      <x:c r="H1" s="328"/>
    </x:row>
    <x:row r="2" ht="34" customHeight="1">
      <x:c r="A2" s="332" t="str">
        <x:v>60/60 gates passed • 43 expected-valid payloads validate and 17 prohibited payloads fail as designed</x:v>
      </x:c>
      <x:c r="B2" s="332"/>
      <x:c r="C2" s="332"/>
      <x:c r="D2" s="332"/>
      <x:c r="E2" s="332"/>
      <x:c r="F2" s="332"/>
      <x:c r="G2" s="332"/>
      <x:c r="H2" s="332"/>
    </x:row>
    <x:row r="4" ht="44" customHeight="1">
      <x:c r="A4" s="375" t="str">
        <x:v>Fixture</x:v>
      </x:c>
      <x:c r="B4" s="375" t="str">
        <x:v>Expected</x:v>
      </x:c>
      <x:c r="C4" s="375" t="str">
        <x:v>Schema / Definition</x:v>
      </x:c>
      <x:c r="D4" s="375" t="str">
        <x:v>Coverage</x:v>
      </x:c>
      <x:c r="E4" s="375" t="str">
        <x:v>Result</x:v>
      </x:c>
      <x:c r="F4" s="375" t="str">
        <x:v>System / Safety Branch</x:v>
      </x:c>
      <x:c r="G4" s="375" t="str">
        <x:v>Contract Assertion</x:v>
      </x:c>
      <x:c r="H4" s="375" t="str">
        <x:v>Validation Evidence</x:v>
      </x:c>
    </x:row>
    <x:row r="5" ht="48" customHeight="1">
      <x:c r="A5" s="384" t="str">
        <x:v>positive/connectivity-state.json</x:v>
      </x:c>
      <x:c r="B5" s="384" t="str">
        <x:v>VALID</x:v>
      </x:c>
      <x:c r="C5" s="384" t="str">
        <x:v>read-models/async-attention-recovery.schema.json #/$defs/ConnectivityState</x:v>
      </x:c>
      <x:c r="D5" s="384" t="str">
        <x:v>C3-ASYNC, C3-A11Y, C3-MEDIA</x:v>
      </x:c>
      <x:c r="E5" s="403" t="str">
        <x:v>PASS</x:v>
      </x:c>
      <x:c r="F5" s="384" t="str">
        <x:v>Connectivity / recovery</x:v>
      </x:c>
      <x:c r="G5" s="384" t="str">
        <x:v>Payload validates against the C3 durability, knowledge, non-blocking, accessibility and provenance boundary for its branch.</x:v>
      </x:c>
      <x:c r="H5" s="384" t="str">
        <x:v>Validated; no forbidden public keys</x:v>
      </x:c>
    </x:row>
    <x:row r="6" ht="48" customHeight="1">
      <x:c r="A6" s="382" t="str">
        <x:v>positive/save-recovery-state.json</x:v>
      </x:c>
      <x:c r="B6" s="382" t="str">
        <x:v>VALID</x:v>
      </x:c>
      <x:c r="C6" s="382" t="str">
        <x:v>read-models/async-attention-recovery.schema.json #/$defs/SaveRecoveryState</x:v>
      </x:c>
      <x:c r="D6" s="382" t="str">
        <x:v>C3-ASYNC, C3-A11Y, C3-MEDIA</x:v>
      </x:c>
      <x:c r="E6" s="404" t="str">
        <x:v>PASS</x:v>
      </x:c>
      <x:c r="F6" s="382" t="str">
        <x:v>Connectivity / recovery</x:v>
      </x:c>
      <x:c r="G6" s="382" t="str">
        <x:v>Payload validates against the C3 durability, knowledge, non-blocking, accessibility and provenance boundary for its branch.</x:v>
      </x:c>
      <x:c r="H6" s="382" t="str">
        <x:v>Validated; no forbidden public keys</x:v>
      </x:c>
    </x:row>
    <x:row r="7" ht="48" customHeight="1">
      <x:c r="A7" s="385" t="str">
        <x:v>positive/attention-digest.json</x:v>
      </x:c>
      <x:c r="B7" s="385" t="str">
        <x:v>VALID</x:v>
      </x:c>
      <x:c r="C7" s="385" t="str">
        <x:v>read-models/async-attention-recovery.schema.json #/$defs/AttentionDigest</x:v>
      </x:c>
      <x:c r="D7" s="385" t="str">
        <x:v>C3-ASYNC, C3-A11Y, C3-MEDIA</x:v>
      </x:c>
      <x:c r="E7" s="404" t="str">
        <x:v>PASS</x:v>
      </x:c>
      <x:c r="F7" s="385" t="str">
        <x:v>Attention aggregation</x:v>
      </x:c>
      <x:c r="G7" s="385" t="str">
        <x:v>Payload validates against the C3 durability, knowledge, non-blocking, accessibility and provenance boundary for its branch.</x:v>
      </x:c>
      <x:c r="H7" s="385" t="str">
        <x:v>Validated; no forbidden public keys</x:v>
      </x:c>
    </x:row>
    <x:row r="8" ht="48" customHeight="1">
      <x:c r="A8" s="382" t="str">
        <x:v>positive/accessibility-profile.json</x:v>
      </x:c>
      <x:c r="B8" s="382" t="str">
        <x:v>VALID</x:v>
      </x:c>
      <x:c r="C8" s="382" t="str">
        <x:v>read-models/accessibility-content-localization.schema.json #/$defs/AccessibilityProfile</x:v>
      </x:c>
      <x:c r="D8" s="382" t="str">
        <x:v>SCN-16, CMP-039, C3-A11Y</x:v>
      </x:c>
      <x:c r="E8" s="404" t="str">
        <x:v>PASS</x:v>
      </x:c>
      <x:c r="F8" s="382" t="str">
        <x:v>Accessibility / content / localization</x:v>
      </x:c>
      <x:c r="G8" s="382" t="str">
        <x:v>Payload validates against the C3 durability, knowledge, non-blocking, accessibility and provenance boundary for its branch.</x:v>
      </x:c>
      <x:c r="H8" s="382" t="str">
        <x:v>Validated; no forbidden public keys</x:v>
      </x:c>
    </x:row>
    <x:row r="9" ht="48" customHeight="1">
      <x:c r="A9" s="385" t="str">
        <x:v>positive/content-control-profile.json</x:v>
      </x:c>
      <x:c r="B9" s="385" t="str">
        <x:v>VALID</x:v>
      </x:c>
      <x:c r="C9" s="385" t="str">
        <x:v>read-models/accessibility-content-localization.schema.json #/$defs/ContentControlProfile</x:v>
      </x:c>
      <x:c r="D9" s="385" t="str">
        <x:v>C3-ASYNC, C3-A11Y, C3-MEDIA</x:v>
      </x:c>
      <x:c r="E9" s="404" t="str">
        <x:v>PASS</x:v>
      </x:c>
      <x:c r="F9" s="385" t="str">
        <x:v>Accessibility / content / localization</x:v>
      </x:c>
      <x:c r="G9" s="385" t="str">
        <x:v>Payload validates against the C3 durability, knowledge, non-blocking, accessibility and provenance boundary for its branch.</x:v>
      </x:c>
      <x:c r="H9" s="385" t="str">
        <x:v>Validated; no forbidden public keys</x:v>
      </x:c>
    </x:row>
    <x:row r="10" ht="48" customHeight="1">
      <x:c r="A10" s="382" t="str">
        <x:v>positive/localization-profile.json</x:v>
      </x:c>
      <x:c r="B10" s="382" t="str">
        <x:v>VALID</x:v>
      </x:c>
      <x:c r="C10" s="382" t="str">
        <x:v>read-models/accessibility-content-localization.schema.json #/$defs/LocalizationProfile</x:v>
      </x:c>
      <x:c r="D10" s="382" t="str">
        <x:v>C3-ASYNC, C3-A11Y, C3-MEDIA</x:v>
      </x:c>
      <x:c r="E10" s="404" t="str">
        <x:v>PASS</x:v>
      </x:c>
      <x:c r="F10" s="382" t="str">
        <x:v>Accessibility / content / localization</x:v>
      </x:c>
      <x:c r="G10" s="382" t="str">
        <x:v>Payload validates against the C3 durability, knowledge, non-blocking, accessibility and provenance boundary for its branch.</x:v>
      </x:c>
      <x:c r="H10" s="382" t="str">
        <x:v>Validated; no forbidden public keys</x:v>
      </x:c>
    </x:row>
    <x:row r="11" ht="48" customHeight="1">
      <x:c r="A11" s="385" t="str">
        <x:v>positive/issue-zero-skip.json</x:v>
      </x:c>
      <x:c r="B11" s="385" t="str">
        <x:v>VALID</x:v>
      </x:c>
      <x:c r="C11" s="385" t="str">
        <x:v>read-models/accessibility-content-localization.schema.json #/$defs/IssueZeroAvailability</x:v>
      </x:c>
      <x:c r="D11" s="385" t="str">
        <x:v>SCN-15, ONB-001, C3-A11Y</x:v>
      </x:c>
      <x:c r="E11" s="404" t="str">
        <x:v>PASS</x:v>
      </x:c>
      <x:c r="F11" s="385" t="str">
        <x:v>Issue #0 / onboarding</x:v>
      </x:c>
      <x:c r="G11" s="385" t="str">
        <x:v>Payload validates against the C3 durability, knowledge, non-blocking, accessibility and provenance boundary for its branch.</x:v>
      </x:c>
      <x:c r="H11" s="385" t="str">
        <x:v>Validated; no forbidden public keys</x:v>
      </x:c>
    </x:row>
    <x:row r="12" ht="48" customHeight="1">
      <x:c r="A12" s="382" t="str">
        <x:v>positive/comic-capture-record.json</x:v>
      </x:c>
      <x:c r="B12" s="382" t="str">
        <x:v>VALID</x:v>
      </x:c>
      <x:c r="C12" s="382" t="str">
        <x:v>read-models/comic-capture-source-lock.schema.json #/$defs/ComicCaptureRecord</x:v>
      </x:c>
      <x:c r="D12" s="382" t="str">
        <x:v>C3-ASYNC, C3-A11Y, C3-MEDIA</x:v>
      </x:c>
      <x:c r="E12" s="404" t="str">
        <x:v>PASS</x:v>
      </x:c>
      <x:c r="F12" s="382" t="str">
        <x:v>Comic capture / Source Lock</x:v>
      </x:c>
      <x:c r="G12" s="382" t="str">
        <x:v>Payload validates against the C3 durability, knowledge, non-blocking, accessibility and provenance boundary for its branch.</x:v>
      </x:c>
      <x:c r="H12" s="382" t="str">
        <x:v>Validated; no forbidden public keys</x:v>
      </x:c>
    </x:row>
    <x:row r="13" ht="48" customHeight="1">
      <x:c r="A13" s="385" t="str">
        <x:v>positive/inflection-review.json</x:v>
      </x:c>
      <x:c r="B13" s="385" t="str">
        <x:v>VALID</x:v>
      </x:c>
      <x:c r="C13" s="385" t="str">
        <x:v>read-models/comic-capture-source-lock.schema.json #/$defs/InflectionReview</x:v>
      </x:c>
      <x:c r="D13" s="385" t="str">
        <x:v>C3-ASYNC, C3-A11Y, C3-MEDIA</x:v>
      </x:c>
      <x:c r="E13" s="404" t="str">
        <x:v>PASS</x:v>
      </x:c>
      <x:c r="F13" s="385" t="str">
        <x:v>Comic capture / Source Lock</x:v>
      </x:c>
      <x:c r="G13" s="385" t="str">
        <x:v>Payload validates against the C3 durability, knowledge, non-blocking, accessibility and provenance boundary for its branch.</x:v>
      </x:c>
      <x:c r="H13" s="385" t="str">
        <x:v>Validated; no forbidden public keys</x:v>
      </x:c>
    </x:row>
    <x:row r="14" ht="48" customHeight="1">
      <x:c r="A14" s="382" t="str">
        <x:v>positive/source-lock-record.json</x:v>
      </x:c>
      <x:c r="B14" s="382" t="str">
        <x:v>VALID</x:v>
      </x:c>
      <x:c r="C14" s="382" t="str">
        <x:v>read-models/comic-capture-source-lock.schema.json #/$defs/SourceLockRecord</x:v>
      </x:c>
      <x:c r="D14" s="382" t="str">
        <x:v>SCN-14, FLW-11, C3-MEDIA</x:v>
      </x:c>
      <x:c r="E14" s="404" t="str">
        <x:v>PASS</x:v>
      </x:c>
      <x:c r="F14" s="382" t="str">
        <x:v>Comic capture / Source Lock</x:v>
      </x:c>
      <x:c r="G14" s="382" t="str">
        <x:v>Payload validates against the C3 durability, knowledge, non-blocking, accessibility and provenance boundary for its branch.</x:v>
      </x:c>
      <x:c r="H14" s="382" t="str">
        <x:v>Validated; no forbidden public keys</x:v>
      </x:c>
    </x:row>
    <x:row r="15" ht="48" customHeight="1">
      <x:c r="A15" s="385" t="str">
        <x:v>positive/comic-job-producing.json</x:v>
      </x:c>
      <x:c r="B15" s="385" t="str">
        <x:v>VALID</x:v>
      </x:c>
      <x:c r="C15" s="385" t="str">
        <x:v>read-models/comic-production-reader.schema.json #/$defs/ComicJobRecord</x:v>
      </x:c>
      <x:c r="D15" s="385" t="str">
        <x:v>C3-ASYNC, C3-A11Y, C3-MEDIA</x:v>
      </x:c>
      <x:c r="E15" s="404" t="str">
        <x:v>PASS</x:v>
      </x:c>
      <x:c r="F15" s="385" t="str">
        <x:v>Comic production / reader</x:v>
      </x:c>
      <x:c r="G15" s="385" t="str">
        <x:v>Payload validates against the C3 durability, knowledge, non-blocking, accessibility and provenance boundary for its branch.</x:v>
      </x:c>
      <x:c r="H15" s="385" t="str">
        <x:v>Validated; no forbidden public keys</x:v>
      </x:c>
    </x:row>
    <x:row r="16" ht="48" customHeight="1">
      <x:c r="A16" s="382" t="str">
        <x:v>positive/comic-job-provider-blocked.json</x:v>
      </x:c>
      <x:c r="B16" s="382" t="str">
        <x:v>VALID</x:v>
      </x:c>
      <x:c r="C16" s="382" t="str">
        <x:v>read-models/comic-production-reader.schema.json #/$defs/ComicJobRecord</x:v>
      </x:c>
      <x:c r="D16" s="382" t="str">
        <x:v>SCN-14, FLW-11, C3-ASYNC</x:v>
      </x:c>
      <x:c r="E16" s="404" t="str">
        <x:v>PASS</x:v>
      </x:c>
      <x:c r="F16" s="382" t="str">
        <x:v>Comic production / reader</x:v>
      </x:c>
      <x:c r="G16" s="382" t="str">
        <x:v>Payload validates against the C3 durability, knowledge, non-blocking, accessibility and provenance boundary for its branch.</x:v>
      </x:c>
      <x:c r="H16" s="382" t="str">
        <x:v>Validated; no forbidden public keys</x:v>
      </x:c>
    </x:row>
    <x:row r="17" ht="48" customHeight="1">
      <x:c r="A17" s="385" t="str">
        <x:v>positive/comic-reader-wip.json</x:v>
      </x:c>
      <x:c r="B17" s="385" t="str">
        <x:v>VALID</x:v>
      </x:c>
      <x:c r="C17" s="385" t="str">
        <x:v>read-models/comic-production-reader.schema.json #/$defs/ComicReaderRecord</x:v>
      </x:c>
      <x:c r="D17" s="385" t="str">
        <x:v>C3-ASYNC, C3-A11Y, C3-MEDIA</x:v>
      </x:c>
      <x:c r="E17" s="404" t="str">
        <x:v>PASS</x:v>
      </x:c>
      <x:c r="F17" s="385" t="str">
        <x:v>Comic production / reader</x:v>
      </x:c>
      <x:c r="G17" s="385" t="str">
        <x:v>Payload validates against the C3 durability, knowledge, non-blocking, accessibility and provenance boundary for its branch.</x:v>
      </x:c>
      <x:c r="H17" s="385" t="str">
        <x:v>Validated; no forbidden public keys</x:v>
      </x:c>
    </x:row>
    <x:row r="18" ht="48" customHeight="1">
      <x:c r="A18" s="382" t="str">
        <x:v>positive/comic-reader-published.json</x:v>
      </x:c>
      <x:c r="B18" s="382" t="str">
        <x:v>VALID</x:v>
      </x:c>
      <x:c r="C18" s="382" t="str">
        <x:v>read-models/comic-production-reader.schema.json #/$defs/ComicReaderRecord</x:v>
      </x:c>
      <x:c r="D18" s="382" t="str">
        <x:v>C3-ASYNC, C3-A11Y, C3-MEDIA</x:v>
      </x:c>
      <x:c r="E18" s="404" t="str">
        <x:v>PASS</x:v>
      </x:c>
      <x:c r="F18" s="382" t="str">
        <x:v>Comic production / reader</x:v>
      </x:c>
      <x:c r="G18" s="382" t="str">
        <x:v>Payload validates against the C3 durability, knowledge, non-blocking, accessibility and provenance boundary for its branch.</x:v>
      </x:c>
      <x:c r="H18" s="382" t="str">
        <x:v>Validated; no forbidden public keys</x:v>
      </x:c>
    </x:row>
    <x:row r="19" ht="48" customHeight="1">
      <x:c r="A19" s="385" t="str">
        <x:v>positive/edition-history.json</x:v>
      </x:c>
      <x:c r="B19" s="385" t="str">
        <x:v>VALID</x:v>
      </x:c>
      <x:c r="C19" s="385" t="str">
        <x:v>read-models/comic-production-reader.schema.json #/$defs/EditionHistory</x:v>
      </x:c>
      <x:c r="D19" s="385" t="str">
        <x:v>C3-ASYNC, C3-A11Y, C3-MEDIA</x:v>
      </x:c>
      <x:c r="E19" s="404" t="str">
        <x:v>PASS</x:v>
      </x:c>
      <x:c r="F19" s="385" t="str">
        <x:v>Comic production / reader</x:v>
      </x:c>
      <x:c r="G19" s="385" t="str">
        <x:v>Payload validates against the C3 durability, knowledge, non-blocking, accessibility and provenance boundary for its branch.</x:v>
      </x:c>
      <x:c r="H19" s="385" t="str">
        <x:v>Validated; no forbidden public keys</x:v>
      </x:c>
    </x:row>
    <x:row r="20" ht="48" customHeight="1">
      <x:c r="A20" s="382" t="str">
        <x:v>positive/media-asset-manifest.json</x:v>
      </x:c>
      <x:c r="B20" s="382" t="str">
        <x:v>VALID</x:v>
      </x:c>
      <x:c r="C20" s="382" t="str">
        <x:v>media/media-provenance.schema.json #/$defs/MediaAssetManifest</x:v>
      </x:c>
      <x:c r="D20" s="382" t="str">
        <x:v>C3-ASYNC, C3-A11Y, C3-MEDIA</x:v>
      </x:c>
      <x:c r="E20" s="404" t="str">
        <x:v>PASS</x:v>
      </x:c>
      <x:c r="F20" s="382" t="str">
        <x:v>Media provenance / accessibility</x:v>
      </x:c>
      <x:c r="G20" s="382" t="str">
        <x:v>Payload validates against the C3 durability, knowledge, non-blocking, accessibility and provenance boundary for its branch.</x:v>
      </x:c>
      <x:c r="H20" s="382" t="str">
        <x:v>Validated as protected/non-public payload</x:v>
      </x:c>
    </x:row>
    <x:row r="21" ht="48" customHeight="1">
      <x:c r="A21" s="385" t="str">
        <x:v>positive/accessible-publication-package.json</x:v>
      </x:c>
      <x:c r="B21" s="385" t="str">
        <x:v>VALID</x:v>
      </x:c>
      <x:c r="C21" s="385" t="str">
        <x:v>media/media-provenance.schema.json #/$defs/AccessiblePublicationPackage</x:v>
      </x:c>
      <x:c r="D21" s="385" t="str">
        <x:v>C3-ASYNC, C3-A11Y, C3-MEDIA</x:v>
      </x:c>
      <x:c r="E21" s="404" t="str">
        <x:v>PASS</x:v>
      </x:c>
      <x:c r="F21" s="385" t="str">
        <x:v>Media provenance / accessibility</x:v>
      </x:c>
      <x:c r="G21" s="385" t="str">
        <x:v>Payload validates against the C3 durability, knowledge, non-blocking, accessibility and provenance boundary for its branch.</x:v>
      </x:c>
      <x:c r="H21" s="385" t="str">
        <x:v>Validated; no forbidden public keys</x:v>
      </x:c>
    </x:row>
    <x:row r="22" ht="48" customHeight="1">
      <x:c r="A22" s="382" t="str">
        <x:v>positive/privacy-safe-analytics.json</x:v>
      </x:c>
      <x:c r="B22" s="382" t="str">
        <x:v>VALID</x:v>
      </x:c>
      <x:c r="C22" s="382" t="str">
        <x:v>telemetry/privacy-safe-analytics.schema.json #/$defs/PrivacySafeAnalyticsEvent</x:v>
      </x:c>
      <x:c r="D22" s="382" t="str">
        <x:v>C3-ASYNC, C3-A11Y, C3-MEDIA</x:v>
      </x:c>
      <x:c r="E22" s="404" t="str">
        <x:v>PASS</x:v>
      </x:c>
      <x:c r="F22" s="382" t="str">
        <x:v>Privacy-safe analytics</x:v>
      </x:c>
      <x:c r="G22" s="382" t="str">
        <x:v>Payload validates against the C3 durability, knowledge, non-blocking, accessibility and provenance boundary for its branch.</x:v>
      </x:c>
      <x:c r="H22" s="382" t="str">
        <x:v>Validated as protected/non-public payload</x:v>
      </x:c>
    </x:row>
    <x:row r="23" ht="48" customHeight="1">
      <x:c r="A23" s="385" t="str">
        <x:v>positive/acknowledge-recovery-command.json</x:v>
      </x:c>
      <x:c r="B23" s="385" t="str">
        <x:v>VALID</x:v>
      </x:c>
      <x:c r="C23" s="385" t="str">
        <x:v>commands/async-media.schema.json #/$defs/AcknowledgeRecovery</x:v>
      </x:c>
      <x:c r="D23" s="385" t="str">
        <x:v>C3-ASYNC, C3-A11Y, C3-MEDIA</x:v>
      </x:c>
      <x:c r="E23" s="404" t="str">
        <x:v>PASS</x:v>
      </x:c>
      <x:c r="F23" s="385" t="str">
        <x:v>C3 command boundary</x:v>
      </x:c>
      <x:c r="G23" s="385" t="str">
        <x:v>Payload validates against the C3 durability, knowledge, non-blocking, accessibility and provenance boundary for its branch.</x:v>
      </x:c>
      <x:c r="H23" s="385" t="str">
        <x:v>Validated; no forbidden public keys</x:v>
      </x:c>
    </x:row>
    <x:row r="24" ht="48" customHeight="1">
      <x:c r="A24" s="382" t="str">
        <x:v>positive/retry-recovery-command.json</x:v>
      </x:c>
      <x:c r="B24" s="382" t="str">
        <x:v>VALID</x:v>
      </x:c>
      <x:c r="C24" s="382" t="str">
        <x:v>commands/async-media.schema.json #/$defs/RetryRecovery</x:v>
      </x:c>
      <x:c r="D24" s="382" t="str">
        <x:v>C3-ASYNC, C3-A11Y, C3-MEDIA</x:v>
      </x:c>
      <x:c r="E24" s="404" t="str">
        <x:v>PASS</x:v>
      </x:c>
      <x:c r="F24" s="382" t="str">
        <x:v>C3 command boundary</x:v>
      </x:c>
      <x:c r="G24" s="382" t="str">
        <x:v>Payload validates against the C3 durability, knowledge, non-blocking, accessibility and provenance boundary for its branch.</x:v>
      </x:c>
      <x:c r="H24" s="382" t="str">
        <x:v>Validated; no forbidden public keys</x:v>
      </x:c>
    </x:row>
    <x:row r="25" ht="48" customHeight="1">
      <x:c r="A25" s="385" t="str">
        <x:v>positive/update-accessibility-command.json</x:v>
      </x:c>
      <x:c r="B25" s="385" t="str">
        <x:v>VALID</x:v>
      </x:c>
      <x:c r="C25" s="385" t="str">
        <x:v>commands/async-media.schema.json #/$defs/UpdateAccessibilityProfile</x:v>
      </x:c>
      <x:c r="D25" s="385" t="str">
        <x:v>C3-ASYNC, C3-A11Y, C3-MEDIA</x:v>
      </x:c>
      <x:c r="E25" s="404" t="str">
        <x:v>PASS</x:v>
      </x:c>
      <x:c r="F25" s="385" t="str">
        <x:v>C3 command boundary</x:v>
      </x:c>
      <x:c r="G25" s="385" t="str">
        <x:v>Payload validates against the C3 durability, knowledge, non-blocking, accessibility and provenance boundary for its branch.</x:v>
      </x:c>
      <x:c r="H25" s="385" t="str">
        <x:v>Validated; no forbidden public keys</x:v>
      </x:c>
    </x:row>
    <x:row r="26" ht="48" customHeight="1">
      <x:c r="A26" s="382" t="str">
        <x:v>positive/update-content-controls-command.json</x:v>
      </x:c>
      <x:c r="B26" s="382" t="str">
        <x:v>VALID</x:v>
      </x:c>
      <x:c r="C26" s="382" t="str">
        <x:v>commands/async-media.schema.json #/$defs/UpdateContentControlProfile</x:v>
      </x:c>
      <x:c r="D26" s="382" t="str">
        <x:v>C3-ASYNC, C3-A11Y, C3-MEDIA</x:v>
      </x:c>
      <x:c r="E26" s="404" t="str">
        <x:v>PASS</x:v>
      </x:c>
      <x:c r="F26" s="382" t="str">
        <x:v>C3 command boundary</x:v>
      </x:c>
      <x:c r="G26" s="382" t="str">
        <x:v>Payload validates against the C3 durability, knowledge, non-blocking, accessibility and provenance boundary for its branch.</x:v>
      </x:c>
      <x:c r="H26" s="382" t="str">
        <x:v>Validated; no forbidden public keys</x:v>
      </x:c>
    </x:row>
    <x:row r="27" ht="48" customHeight="1">
      <x:c r="A27" s="385" t="str">
        <x:v>positive/update-localization-command.json</x:v>
      </x:c>
      <x:c r="B27" s="385" t="str">
        <x:v>VALID</x:v>
      </x:c>
      <x:c r="C27" s="385" t="str">
        <x:v>commands/async-media.schema.json #/$defs/UpdateLocalizationProfile</x:v>
      </x:c>
      <x:c r="D27" s="385" t="str">
        <x:v>C3-ASYNC, C3-A11Y, C3-MEDIA</x:v>
      </x:c>
      <x:c r="E27" s="404" t="str">
        <x:v>PASS</x:v>
      </x:c>
      <x:c r="F27" s="385" t="str">
        <x:v>C3 command boundary</x:v>
      </x:c>
      <x:c r="G27" s="385" t="str">
        <x:v>Payload validates against the C3 durability, knowledge, non-blocking, accessibility and provenance boundary for its branch.</x:v>
      </x:c>
      <x:c r="H27" s="385" t="str">
        <x:v>Validated; no forbidden public keys</x:v>
      </x:c>
    </x:row>
    <x:row r="28" ht="48" customHeight="1">
      <x:c r="A28" s="382" t="str">
        <x:v>positive/review-inflection-command.json</x:v>
      </x:c>
      <x:c r="B28" s="382" t="str">
        <x:v>VALID</x:v>
      </x:c>
      <x:c r="C28" s="382" t="str">
        <x:v>commands/async-media.schema.json #/$defs/ReviewComicInflection</x:v>
      </x:c>
      <x:c r="D28" s="382" t="str">
        <x:v>C3-ASYNC, C3-A11Y, C3-MEDIA</x:v>
      </x:c>
      <x:c r="E28" s="404" t="str">
        <x:v>PASS</x:v>
      </x:c>
      <x:c r="F28" s="382" t="str">
        <x:v>C3 command boundary</x:v>
      </x:c>
      <x:c r="G28" s="382" t="str">
        <x:v>Payload validates against the C3 durability, knowledge, non-blocking, accessibility and provenance boundary for its branch.</x:v>
      </x:c>
      <x:c r="H28" s="382" t="str">
        <x:v>Validated; no forbidden public keys</x:v>
      </x:c>
    </x:row>
    <x:row r="29" ht="48" customHeight="1">
      <x:c r="A29" s="385" t="str">
        <x:v>positive/create-source-lock-command.json</x:v>
      </x:c>
      <x:c r="B29" s="385" t="str">
        <x:v>VALID</x:v>
      </x:c>
      <x:c r="C29" s="385" t="str">
        <x:v>commands/async-media.schema.json #/$defs/CreateComicSourceLock</x:v>
      </x:c>
      <x:c r="D29" s="385" t="str">
        <x:v>C3-ASYNC, C3-A11Y, C3-MEDIA</x:v>
      </x:c>
      <x:c r="E29" s="404" t="str">
        <x:v>PASS</x:v>
      </x:c>
      <x:c r="F29" s="385" t="str">
        <x:v>C3 command boundary</x:v>
      </x:c>
      <x:c r="G29" s="385" t="str">
        <x:v>Payload validates against the C3 durability, knowledge, non-blocking, accessibility and provenance boundary for its branch.</x:v>
      </x:c>
      <x:c r="H29" s="385" t="str">
        <x:v>Validated; no forbidden public keys</x:v>
      </x:c>
    </x:row>
    <x:row r="30" ht="48" customHeight="1">
      <x:c r="A30" s="382" t="str">
        <x:v>positive/set-wip-policy-command.json</x:v>
      </x:c>
      <x:c r="B30" s="382" t="str">
        <x:v>VALID</x:v>
      </x:c>
      <x:c r="C30" s="382" t="str">
        <x:v>commands/async-media.schema.json #/$defs/SetComicWipPolicy</x:v>
      </x:c>
      <x:c r="D30" s="382" t="str">
        <x:v>C3-ASYNC, C3-A11Y, C3-MEDIA</x:v>
      </x:c>
      <x:c r="E30" s="404" t="str">
        <x:v>PASS</x:v>
      </x:c>
      <x:c r="F30" s="382" t="str">
        <x:v>C3 command boundary</x:v>
      </x:c>
      <x:c r="G30" s="382" t="str">
        <x:v>Payload validates against the C3 durability, knowledge, non-blocking, accessibility and provenance boundary for its branch.</x:v>
      </x:c>
      <x:c r="H30" s="382" t="str">
        <x:v>Validated; no forbidden public keys</x:v>
      </x:c>
    </x:row>
    <x:row r="31" ht="48" customHeight="1">
      <x:c r="A31" s="385" t="str">
        <x:v>positive/recover-comic-job-command.json</x:v>
      </x:c>
      <x:c r="B31" s="385" t="str">
        <x:v>VALID</x:v>
      </x:c>
      <x:c r="C31" s="385" t="str">
        <x:v>commands/async-media.schema.json #/$defs/RequestComicJobRecovery</x:v>
      </x:c>
      <x:c r="D31" s="385" t="str">
        <x:v>C3-ASYNC, C3-A11Y, C3-MEDIA</x:v>
      </x:c>
      <x:c r="E31" s="404" t="str">
        <x:v>PASS</x:v>
      </x:c>
      <x:c r="F31" s="385" t="str">
        <x:v>C3 command boundary</x:v>
      </x:c>
      <x:c r="G31" s="385" t="str">
        <x:v>Payload validates against the C3 durability, knowledge, non-blocking, accessibility and provenance boundary for its branch.</x:v>
      </x:c>
      <x:c r="H31" s="385" t="str">
        <x:v>Validated; no forbidden public keys</x:v>
      </x:c>
    </x:row>
    <x:row r="32" ht="48" customHeight="1">
      <x:c r="A32" s="382" t="str">
        <x:v>positive/qa-disposition-command.json</x:v>
      </x:c>
      <x:c r="B32" s="382" t="str">
        <x:v>VALID</x:v>
      </x:c>
      <x:c r="C32" s="382" t="str">
        <x:v>commands/async-media.schema.json #/$defs/SubmitComicQaDisposition</x:v>
      </x:c>
      <x:c r="D32" s="382" t="str">
        <x:v>C3-ASYNC, C3-A11Y, C3-MEDIA</x:v>
      </x:c>
      <x:c r="E32" s="404" t="str">
        <x:v>PASS</x:v>
      </x:c>
      <x:c r="F32" s="382" t="str">
        <x:v>C3 command boundary</x:v>
      </x:c>
      <x:c r="G32" s="382" t="str">
        <x:v>Payload validates against the C3 durability, knowledge, non-blocking, accessibility and provenance boundary for its branch.</x:v>
      </x:c>
      <x:c r="H32" s="382" t="str">
        <x:v>Validated; no forbidden public keys</x:v>
      </x:c>
    </x:row>
    <x:row r="33" ht="48" customHeight="1">
      <x:c r="A33" s="385" t="str">
        <x:v>positive/publish-edition-command.json</x:v>
      </x:c>
      <x:c r="B33" s="385" t="str">
        <x:v>VALID</x:v>
      </x:c>
      <x:c r="C33" s="385" t="str">
        <x:v>commands/async-media.schema.json #/$defs/PublishComicEdition</x:v>
      </x:c>
      <x:c r="D33" s="385" t="str">
        <x:v>C3-ASYNC, C3-A11Y, C3-MEDIA</x:v>
      </x:c>
      <x:c r="E33" s="404" t="str">
        <x:v>PASS</x:v>
      </x:c>
      <x:c r="F33" s="385" t="str">
        <x:v>C3 command boundary</x:v>
      </x:c>
      <x:c r="G33" s="385" t="str">
        <x:v>Payload validates against the C3 durability, knowledge, non-blocking, accessibility and provenance boundary for its branch.</x:v>
      </x:c>
      <x:c r="H33" s="385" t="str">
        <x:v>Validated; no forbidden public keys</x:v>
      </x:c>
    </x:row>
    <x:row r="34" ht="48" customHeight="1">
      <x:c r="A34" s="382" t="str">
        <x:v>positive/request-correction-command.json</x:v>
      </x:c>
      <x:c r="B34" s="382" t="str">
        <x:v>VALID</x:v>
      </x:c>
      <x:c r="C34" s="382" t="str">
        <x:v>commands/async-media.schema.json #/$defs/RequestComicCorrection</x:v>
      </x:c>
      <x:c r="D34" s="382" t="str">
        <x:v>C3-ASYNC, C3-A11Y, C3-MEDIA</x:v>
      </x:c>
      <x:c r="E34" s="404" t="str">
        <x:v>PASS</x:v>
      </x:c>
      <x:c r="F34" s="382" t="str">
        <x:v>C3 command boundary</x:v>
      </x:c>
      <x:c r="G34" s="382" t="str">
        <x:v>Payload validates against the C3 durability, knowledge, non-blocking, accessibility and provenance boundary for its branch.</x:v>
      </x:c>
      <x:c r="H34" s="382" t="str">
        <x:v>Validated; no forbidden public keys</x:v>
      </x:c>
    </x:row>
    <x:row r="35" ht="48" customHeight="1">
      <x:c r="A35" s="385" t="str">
        <x:v>positive/connectivity-changed-event.json</x:v>
      </x:c>
      <x:c r="B35" s="385" t="str">
        <x:v>VALID</x:v>
      </x:c>
      <x:c r="C35" s="385" t="str">
        <x:v>events/async-media.schema.json #/$defs/ConnectivityStateChanged</x:v>
      </x:c>
      <x:c r="D35" s="385" t="str">
        <x:v>C3-ASYNC, C3-A11Y, C3-MEDIA</x:v>
      </x:c>
      <x:c r="E35" s="404" t="str">
        <x:v>PASS</x:v>
      </x:c>
      <x:c r="F35" s="385" t="str">
        <x:v>C3 event boundary</x:v>
      </x:c>
      <x:c r="G35" s="385" t="str">
        <x:v>Payload validates against the C3 durability, knowledge, non-blocking, accessibility and provenance boundary for its branch.</x:v>
      </x:c>
      <x:c r="H35" s="385" t="str">
        <x:v>Validated; no forbidden public keys</x:v>
      </x:c>
    </x:row>
    <x:row r="36" ht="48" customHeight="1">
      <x:c r="A36" s="382" t="str">
        <x:v>positive/save-checkpoint-event.json</x:v>
      </x:c>
      <x:c r="B36" s="382" t="str">
        <x:v>VALID</x:v>
      </x:c>
      <x:c r="C36" s="382" t="str">
        <x:v>events/async-media.schema.json #/$defs/SaveCheckpointCommitted</x:v>
      </x:c>
      <x:c r="D36" s="382" t="str">
        <x:v>C3-ASYNC, C3-A11Y, C3-MEDIA</x:v>
      </x:c>
      <x:c r="E36" s="404" t="str">
        <x:v>PASS</x:v>
      </x:c>
      <x:c r="F36" s="382" t="str">
        <x:v>C3 event boundary</x:v>
      </x:c>
      <x:c r="G36" s="382" t="str">
        <x:v>Payload validates against the C3 durability, knowledge, non-blocking, accessibility and provenance boundary for its branch.</x:v>
      </x:c>
      <x:c r="H36" s="382" t="str">
        <x:v>Validated; no forbidden public keys</x:v>
      </x:c>
    </x:row>
    <x:row r="37" ht="48" customHeight="1">
      <x:c r="A37" s="385" t="str">
        <x:v>positive/recovery-state-event.json</x:v>
      </x:c>
      <x:c r="B37" s="385" t="str">
        <x:v>VALID</x:v>
      </x:c>
      <x:c r="C37" s="385" t="str">
        <x:v>events/async-media.schema.json #/$defs/RecoveryStateChanged</x:v>
      </x:c>
      <x:c r="D37" s="385" t="str">
        <x:v>C3-ASYNC, C3-A11Y, C3-MEDIA</x:v>
      </x:c>
      <x:c r="E37" s="404" t="str">
        <x:v>PASS</x:v>
      </x:c>
      <x:c r="F37" s="385" t="str">
        <x:v>C3 event boundary</x:v>
      </x:c>
      <x:c r="G37" s="385" t="str">
        <x:v>Payload validates against the C3 durability, knowledge, non-blocking, accessibility and provenance boundary for its branch.</x:v>
      </x:c>
      <x:c r="H37" s="385" t="str">
        <x:v>Validated; no forbidden public keys</x:v>
      </x:c>
    </x:row>
    <x:row r="38" ht="48" customHeight="1">
      <x:c r="A38" s="382" t="str">
        <x:v>positive/attention-digest-event.json</x:v>
      </x:c>
      <x:c r="B38" s="382" t="str">
        <x:v>VALID</x:v>
      </x:c>
      <x:c r="C38" s="382" t="str">
        <x:v>events/async-media.schema.json #/$defs/AttentionDigestUpdated</x:v>
      </x:c>
      <x:c r="D38" s="382" t="str">
        <x:v>C3-ASYNC, C3-A11Y, C3-MEDIA</x:v>
      </x:c>
      <x:c r="E38" s="404" t="str">
        <x:v>PASS</x:v>
      </x:c>
      <x:c r="F38" s="382" t="str">
        <x:v>C3 event boundary</x:v>
      </x:c>
      <x:c r="G38" s="382" t="str">
        <x:v>Payload validates against the C3 durability, knowledge, non-blocking, accessibility and provenance boundary for its branch.</x:v>
      </x:c>
      <x:c r="H38" s="382" t="str">
        <x:v>Validated; no forbidden public keys</x:v>
      </x:c>
    </x:row>
    <x:row r="39" ht="48" customHeight="1">
      <x:c r="A39" s="385" t="str">
        <x:v>positive/accessibility-changed-event.json</x:v>
      </x:c>
      <x:c r="B39" s="385" t="str">
        <x:v>VALID</x:v>
      </x:c>
      <x:c r="C39" s="385" t="str">
        <x:v>events/async-media.schema.json #/$defs/AccessibilityProfileChanged</x:v>
      </x:c>
      <x:c r="D39" s="385" t="str">
        <x:v>C3-ASYNC, C3-A11Y, C3-MEDIA</x:v>
      </x:c>
      <x:c r="E39" s="404" t="str">
        <x:v>PASS</x:v>
      </x:c>
      <x:c r="F39" s="385" t="str">
        <x:v>C3 event boundary</x:v>
      </x:c>
      <x:c r="G39" s="385" t="str">
        <x:v>Payload validates against the C3 durability, knowledge, non-blocking, accessibility and provenance boundary for its branch.</x:v>
      </x:c>
      <x:c r="H39" s="385" t="str">
        <x:v>Validated; no forbidden public keys</x:v>
      </x:c>
    </x:row>
    <x:row r="40" ht="48" customHeight="1">
      <x:c r="A40" s="382" t="str">
        <x:v>positive/content-controls-event.json</x:v>
      </x:c>
      <x:c r="B40" s="382" t="str">
        <x:v>VALID</x:v>
      </x:c>
      <x:c r="C40" s="382" t="str">
        <x:v>events/async-media.schema.json #/$defs/ContentControlsChanged</x:v>
      </x:c>
      <x:c r="D40" s="382" t="str">
        <x:v>C3-ASYNC, C3-A11Y, C3-MEDIA</x:v>
      </x:c>
      <x:c r="E40" s="404" t="str">
        <x:v>PASS</x:v>
      </x:c>
      <x:c r="F40" s="382" t="str">
        <x:v>C3 event boundary</x:v>
      </x:c>
      <x:c r="G40" s="382" t="str">
        <x:v>Payload validates against the C3 durability, knowledge, non-blocking, accessibility and provenance boundary for its branch.</x:v>
      </x:c>
      <x:c r="H40" s="382" t="str">
        <x:v>Validated; no forbidden public keys</x:v>
      </x:c>
    </x:row>
    <x:row r="41" ht="48" customHeight="1">
      <x:c r="A41" s="385" t="str">
        <x:v>positive/comic-capture-event.json</x:v>
      </x:c>
      <x:c r="B41" s="385" t="str">
        <x:v>VALID</x:v>
      </x:c>
      <x:c r="C41" s="385" t="str">
        <x:v>events/async-media.schema.json #/$defs/ComicCaptureUpdated</x:v>
      </x:c>
      <x:c r="D41" s="385" t="str">
        <x:v>C3-ASYNC, C3-A11Y, C3-MEDIA</x:v>
      </x:c>
      <x:c r="E41" s="404" t="str">
        <x:v>PASS</x:v>
      </x:c>
      <x:c r="F41" s="385" t="str">
        <x:v>C3 event boundary</x:v>
      </x:c>
      <x:c r="G41" s="385" t="str">
        <x:v>Payload validates against the C3 durability, knowledge, non-blocking, accessibility and provenance boundary for its branch.</x:v>
      </x:c>
      <x:c r="H41" s="385" t="str">
        <x:v>Validated; no forbidden public keys</x:v>
      </x:c>
    </x:row>
    <x:row r="42" ht="48" customHeight="1">
      <x:c r="A42" s="382" t="str">
        <x:v>positive/comic-inflection-event.json</x:v>
      </x:c>
      <x:c r="B42" s="382" t="str">
        <x:v>VALID</x:v>
      </x:c>
      <x:c r="C42" s="382" t="str">
        <x:v>events/async-media.schema.json #/$defs/ComicInflectionReady</x:v>
      </x:c>
      <x:c r="D42" s="382" t="str">
        <x:v>C3-ASYNC, C3-A11Y, C3-MEDIA</x:v>
      </x:c>
      <x:c r="E42" s="404" t="str">
        <x:v>PASS</x:v>
      </x:c>
      <x:c r="F42" s="382" t="str">
        <x:v>C3 event boundary</x:v>
      </x:c>
      <x:c r="G42" s="382" t="str">
        <x:v>Payload validates against the C3 durability, knowledge, non-blocking, accessibility and provenance boundary for its branch.</x:v>
      </x:c>
      <x:c r="H42" s="382" t="str">
        <x:v>Validated; no forbidden public keys</x:v>
      </x:c>
    </x:row>
    <x:row r="43" ht="48" customHeight="1">
      <x:c r="A43" s="385" t="str">
        <x:v>positive/comic-source-lock-event.json</x:v>
      </x:c>
      <x:c r="B43" s="385" t="str">
        <x:v>VALID</x:v>
      </x:c>
      <x:c r="C43" s="385" t="str">
        <x:v>events/async-media.schema.json #/$defs/ComicSourceLocked</x:v>
      </x:c>
      <x:c r="D43" s="385" t="str">
        <x:v>C3-ASYNC, C3-A11Y, C3-MEDIA</x:v>
      </x:c>
      <x:c r="E43" s="404" t="str">
        <x:v>PASS</x:v>
      </x:c>
      <x:c r="F43" s="385" t="str">
        <x:v>C3 event boundary</x:v>
      </x:c>
      <x:c r="G43" s="385" t="str">
        <x:v>Payload validates against the C3 durability, knowledge, non-blocking, accessibility and provenance boundary for its branch.</x:v>
      </x:c>
      <x:c r="H43" s="385" t="str">
        <x:v>Validated; no forbidden public keys</x:v>
      </x:c>
    </x:row>
    <x:row r="44" ht="48" customHeight="1">
      <x:c r="A44" s="382" t="str">
        <x:v>positive/comic-job-event.json</x:v>
      </x:c>
      <x:c r="B44" s="382" t="str">
        <x:v>VALID</x:v>
      </x:c>
      <x:c r="C44" s="382" t="str">
        <x:v>events/async-media.schema.json #/$defs/ComicJobStatusChanged</x:v>
      </x:c>
      <x:c r="D44" s="382" t="str">
        <x:v>C3-ASYNC, C3-A11Y, C3-MEDIA</x:v>
      </x:c>
      <x:c r="E44" s="404" t="str">
        <x:v>PASS</x:v>
      </x:c>
      <x:c r="F44" s="382" t="str">
        <x:v>C3 event boundary</x:v>
      </x:c>
      <x:c r="G44" s="382" t="str">
        <x:v>Payload validates against the C3 durability, knowledge, non-blocking, accessibility and provenance boundary for its branch.</x:v>
      </x:c>
      <x:c r="H44" s="382" t="str">
        <x:v>Validated; no forbidden public keys</x:v>
      </x:c>
    </x:row>
    <x:row r="45" ht="48" customHeight="1">
      <x:c r="A45" s="385" t="str">
        <x:v>positive/comic-review-event.json</x:v>
      </x:c>
      <x:c r="B45" s="385" t="str">
        <x:v>VALID</x:v>
      </x:c>
      <x:c r="C45" s="385" t="str">
        <x:v>events/async-media.schema.json #/$defs/ComicReviewRequired</x:v>
      </x:c>
      <x:c r="D45" s="385" t="str">
        <x:v>C3-ASYNC, C3-A11Y, C3-MEDIA</x:v>
      </x:c>
      <x:c r="E45" s="404" t="str">
        <x:v>PASS</x:v>
      </x:c>
      <x:c r="F45" s="385" t="str">
        <x:v>C3 event boundary</x:v>
      </x:c>
      <x:c r="G45" s="385" t="str">
        <x:v>Payload validates against the C3 durability, knowledge, non-blocking, accessibility and provenance boundary for its branch.</x:v>
      </x:c>
      <x:c r="H45" s="385" t="str">
        <x:v>Validated; no forbidden public keys</x:v>
      </x:c>
    </x:row>
    <x:row r="46" ht="48" customHeight="1">
      <x:c r="A46" s="382" t="str">
        <x:v>positive/comic-published-event.json</x:v>
      </x:c>
      <x:c r="B46" s="382" t="str">
        <x:v>VALID</x:v>
      </x:c>
      <x:c r="C46" s="382" t="str">
        <x:v>events/async-media.schema.json #/$defs/ComicEditionPublished</x:v>
      </x:c>
      <x:c r="D46" s="382" t="str">
        <x:v>C3-ASYNC, C3-A11Y, C3-MEDIA</x:v>
      </x:c>
      <x:c r="E46" s="404" t="str">
        <x:v>PASS</x:v>
      </x:c>
      <x:c r="F46" s="382" t="str">
        <x:v>C3 event boundary</x:v>
      </x:c>
      <x:c r="G46" s="382" t="str">
        <x:v>Payload validates against the C3 durability, knowledge, non-blocking, accessibility and provenance boundary for its branch.</x:v>
      </x:c>
      <x:c r="H46" s="382" t="str">
        <x:v>Validated; no forbidden public keys</x:v>
      </x:c>
    </x:row>
    <x:row r="47" ht="48" customHeight="1">
      <x:c r="A47" s="385" t="str">
        <x:v>positive/comic-superseded-event.json</x:v>
      </x:c>
      <x:c r="B47" s="385" t="str">
        <x:v>VALID</x:v>
      </x:c>
      <x:c r="C47" s="385" t="str">
        <x:v>events/async-media.schema.json #/$defs/ComicEditionSuperseded</x:v>
      </x:c>
      <x:c r="D47" s="385" t="str">
        <x:v>C3-ASYNC, C3-A11Y, C3-MEDIA</x:v>
      </x:c>
      <x:c r="E47" s="404" t="str">
        <x:v>PASS</x:v>
      </x:c>
      <x:c r="F47" s="385" t="str">
        <x:v>C3 event boundary</x:v>
      </x:c>
      <x:c r="G47" s="385" t="str">
        <x:v>Payload validates against the C3 durability, knowledge, non-blocking, accessibility and provenance boundary for its branch.</x:v>
      </x:c>
      <x:c r="H47" s="385" t="str">
        <x:v>Validated; no forbidden public keys</x:v>
      </x:c>
    </x:row>
    <x:row r="48" ht="48" customHeight="1">
      <x:c r="A48" s="406" t="str">
        <x:v>negative/comic-job-invented-percentage.json</x:v>
      </x:c>
      <x:c r="B48" s="406" t="str">
        <x:v>INVALID</x:v>
      </x:c>
      <x:c r="C48" s="406" t="str">
        <x:v>read-models/comic-production-reader.schema.json #/$defs/ComicJobRecord</x:v>
      </x:c>
      <x:c r="D48" s="406" t="str">
        <x:v>C3-ASYNC, C3-A11Y, C3-MEDIA</x:v>
      </x:c>
      <x:c r="E48" s="404" t="str">
        <x:v>PASS</x:v>
      </x:c>
      <x:c r="F48" s="406" t="str">
        <x:v>Comic production / reader</x:v>
      </x:c>
      <x:c r="G48" s="406" t="str">
        <x:v>Player-facing media progress cannot invent a percentage.</x:v>
      </x:c>
      <x:c r="H48" s="406" t="str">
        <x:v>Rejected as designed</x:v>
      </x:c>
    </x:row>
    <x:row r="49" ht="48" customHeight="1">
      <x:c r="A49" s="388" t="str">
        <x:v>negative/comic-job-promised-eta.json</x:v>
      </x:c>
      <x:c r="B49" s="388" t="str">
        <x:v>INVALID</x:v>
      </x:c>
      <x:c r="C49" s="388" t="str">
        <x:v>read-models/comic-production-reader.schema.json #/$defs/ComicJobRecord</x:v>
      </x:c>
      <x:c r="D49" s="388" t="str">
        <x:v>C3-ASYNC, C3-A11Y, C3-MEDIA</x:v>
      </x:c>
      <x:c r="E49" s="404" t="str">
        <x:v>PASS</x:v>
      </x:c>
      <x:c r="F49" s="388" t="str">
        <x:v>Comic production / reader</x:v>
      </x:c>
      <x:c r="G49" s="388" t="str">
        <x:v>No completion timestamp is promised without reliable estimation.</x:v>
      </x:c>
      <x:c r="H49" s="388" t="str">
        <x:v>Rejected as designed</x:v>
      </x:c>
    </x:row>
    <x:row r="50" ht="48" customHeight="1">
      <x:c r="A50" s="406" t="str">
        <x:v>negative/wip-without-opt-in.json</x:v>
      </x:c>
      <x:c r="B50" s="406" t="str">
        <x:v>INVALID</x:v>
      </x:c>
      <x:c r="C50" s="406" t="str">
        <x:v>read-models/comic-production-reader.schema.json #/$defs/ComicReaderRecord</x:v>
      </x:c>
      <x:c r="D50" s="406" t="str">
        <x:v>C3-ASYNC, C3-A11Y, C3-MEDIA</x:v>
      </x:c>
      <x:c r="E50" s="404" t="str">
        <x:v>PASS</x:v>
      </x:c>
      <x:c r="F50" s="406" t="str">
        <x:v>Comic production / reader</x:v>
      </x:c>
      <x:c r="G50" s="406" t="str">
        <x:v>WIP access requires explicit opt-in.</x:v>
      </x:c>
      <x:c r="H50" s="406" t="str">
        <x:v>Rejected as designed</x:v>
      </x:c>
    </x:row>
    <x:row r="51" ht="48" customHeight="1">
      <x:c r="A51" s="388" t="str">
        <x:v>negative/wip-above-knowledge-ceiling.json</x:v>
      </x:c>
      <x:c r="B51" s="388" t="str">
        <x:v>INVALID</x:v>
      </x:c>
      <x:c r="C51" s="388" t="str">
        <x:v>read-models/comic-production-reader.schema.json #/$defs/ComicReaderRecord</x:v>
      </x:c>
      <x:c r="D51" s="388" t="str">
        <x:v>C3-ASYNC, C3-A11Y, C3-MEDIA</x:v>
      </x:c>
      <x:c r="E51" s="404" t="str">
        <x:v>PASS</x:v>
      </x:c>
      <x:c r="F51" s="388" t="str">
        <x:v>Comic production / reader</x:v>
      </x:c>
      <x:c r="G51" s="388" t="str">
        <x:v>WIP cannot exceed the Reader Knowledge Ceiling.</x:v>
      </x:c>
      <x:c r="H51" s="388" t="str">
        <x:v>Rejected as designed</x:v>
      </x:c>
    </x:row>
    <x:row r="52" ht="48" customHeight="1">
      <x:c r="A52" s="406" t="str">
        <x:v>negative/published-asset-without-qa.json</x:v>
      </x:c>
      <x:c r="B52" s="406" t="str">
        <x:v>INVALID</x:v>
      </x:c>
      <x:c r="C52" s="406" t="str">
        <x:v>read-models/comic-production-reader.schema.json #/$defs/ComicReaderRecord</x:v>
      </x:c>
      <x:c r="D52" s="406" t="str">
        <x:v>C3-ASYNC, C3-A11Y, C3-MEDIA</x:v>
      </x:c>
      <x:c r="E52" s="404" t="str">
        <x:v>PASS</x:v>
      </x:c>
      <x:c r="F52" s="406" t="str">
        <x:v>Comic production / reader</x:v>
      </x:c>
      <x:c r="G52" s="406" t="str">
        <x:v>Published pages require passed hard QA.</x:v>
      </x:c>
      <x:c r="H52" s="406" t="str">
        <x:v>Rejected as designed</x:v>
      </x:c>
    </x:row>
    <x:row r="53" ht="48" customHeight="1">
      <x:c r="A53" s="388" t="str">
        <x:v>negative/source-lock-missing-canon-snapshot.json</x:v>
      </x:c>
      <x:c r="B53" s="388" t="str">
        <x:v>INVALID</x:v>
      </x:c>
      <x:c r="C53" s="388" t="str">
        <x:v>read-models/comic-capture-source-lock.schema.json #/$defs/SourceLockRecord</x:v>
      </x:c>
      <x:c r="D53" s="388" t="str">
        <x:v>C3-ASYNC, C3-A11Y, C3-MEDIA</x:v>
      </x:c>
      <x:c r="E53" s="404" t="str">
        <x:v>PASS</x:v>
      </x:c>
      <x:c r="F53" s="388" t="str">
        <x:v>Comic capture / Source Lock</x:v>
      </x:c>
      <x:c r="G53" s="388" t="str">
        <x:v>Source Lock requires an immutable Canon Snapshot.</x:v>
      </x:c>
      <x:c r="H53" s="388" t="str">
        <x:v>Rejected as designed</x:v>
      </x:c>
    </x:row>
    <x:row r="54" ht="48" customHeight="1">
      <x:c r="A54" s="406" t="str">
        <x:v>negative/source-lock-freezes-gameplay.json</x:v>
      </x:c>
      <x:c r="B54" s="406" t="str">
        <x:v>INVALID</x:v>
      </x:c>
      <x:c r="C54" s="406" t="str">
        <x:v>read-models/comic-capture-source-lock.schema.json #/$defs/SourceLockRecord</x:v>
      </x:c>
      <x:c r="D54" s="406" t="str">
        <x:v>C3-ASYNC, C3-A11Y, C3-MEDIA</x:v>
      </x:c>
      <x:c r="E54" s="404" t="str">
        <x:v>PASS</x:v>
      </x:c>
      <x:c r="F54" s="406" t="str">
        <x:v>Comic capture / Source Lock</x:v>
      </x:c>
      <x:c r="G54" s="406" t="str">
        <x:v>Source Lock freezes adaptation input only; play continues.</x:v>
      </x:c>
      <x:c r="H54" s="406" t="str">
        <x:v>Rejected as designed</x:v>
      </x:c>
    </x:row>
    <x:row r="55" ht="48" customHeight="1">
      <x:c r="A55" s="388" t="str">
        <x:v>negative/published-job-labeled-wip.json</x:v>
      </x:c>
      <x:c r="B55" s="388" t="str">
        <x:v>INVALID</x:v>
      </x:c>
      <x:c r="C55" s="388" t="str">
        <x:v>read-models/comic-production-reader.schema.json #/$defs/ComicJobRecord</x:v>
      </x:c>
      <x:c r="D55" s="388" t="str">
        <x:v>C3-ASYNC, C3-A11Y, C3-MEDIA</x:v>
      </x:c>
      <x:c r="E55" s="404" t="str">
        <x:v>PASS</x:v>
      </x:c>
      <x:c r="F55" s="388" t="str">
        <x:v>Comic production / reader</x:v>
      </x:c>
      <x:c r="G55" s="388" t="str">
        <x:v>A published job must present a final state, never WIP.</x:v>
      </x:c>
      <x:c r="H55" s="388" t="str">
        <x:v>Rejected as designed</x:v>
      </x:c>
    </x:row>
    <x:row r="56" ht="48" customHeight="1">
      <x:c r="A56" s="406" t="str">
        <x:v>negative/correction-overwrites-edition.json</x:v>
      </x:c>
      <x:c r="B56" s="406" t="str">
        <x:v>INVALID</x:v>
      </x:c>
      <x:c r="C56" s="406" t="str">
        <x:v>commands/async-media.schema.json #/$defs/RequestComicCorrection</x:v>
      </x:c>
      <x:c r="D56" s="406" t="str">
        <x:v>C3-ASYNC, C3-A11Y, C3-MEDIA</x:v>
      </x:c>
      <x:c r="E56" s="404" t="str">
        <x:v>PASS</x:v>
      </x:c>
      <x:c r="F56" s="406" t="str">
        <x:v>C3 command boundary</x:v>
      </x:c>
      <x:c r="G56" s="406" t="str">
        <x:v>Corrections create superseding editions; published history is immutable.</x:v>
      </x:c>
      <x:c r="H56" s="406" t="str">
        <x:v>Rejected as designed</x:v>
      </x:c>
    </x:row>
    <x:row r="57" ht="48" customHeight="1">
      <x:c r="A57" s="388" t="str">
        <x:v>negative/attention-undelivered-fact.json</x:v>
      </x:c>
      <x:c r="B57" s="388" t="str">
        <x:v>INVALID</x:v>
      </x:c>
      <x:c r="C57" s="388" t="str">
        <x:v>read-models/async-attention-recovery.schema.json #/$defs/AttentionDigest</x:v>
      </x:c>
      <x:c r="D57" s="388" t="str">
        <x:v>C3-ASYNC, C3-A11Y, C3-MEDIA</x:v>
      </x:c>
      <x:c r="E57" s="404" t="str">
        <x:v>PASS</x:v>
      </x:c>
      <x:c r="F57" s="388" t="str">
        <x:v>Attention aggregation</x:v>
      </x:c>
      <x:c r="G57" s="388" t="str">
        <x:v>Attention digests contain delivered viewpoint-safe facts only.</x:v>
      </x:c>
      <x:c r="H57" s="388" t="str">
        <x:v>Rejected as designed</x:v>
      </x:c>
    </x:row>
    <x:row r="58" ht="48" customHeight="1">
      <x:c r="A58" s="406" t="str">
        <x:v>negative/provider-recovery-drops-queue.json</x:v>
      </x:c>
      <x:c r="B58" s="406" t="str">
        <x:v>INVALID</x:v>
      </x:c>
      <x:c r="C58" s="406" t="str">
        <x:v>read-models/async-attention-recovery.schema.json #/$defs/SaveRecoveryState</x:v>
      </x:c>
      <x:c r="D58" s="406" t="str">
        <x:v>C3-ASYNC, C3-A11Y, C3-MEDIA</x:v>
      </x:c>
      <x:c r="E58" s="404" t="str">
        <x:v>PASS</x:v>
      </x:c>
      <x:c r="F58" s="406" t="str">
        <x:v>Connectivity / recovery</x:v>
      </x:c>
      <x:c r="G58" s="406" t="str">
        <x:v>Provider failure cannot discard queued or completed work.</x:v>
      </x:c>
      <x:c r="H58" s="406" t="str">
        <x:v>Rejected as designed</x:v>
      </x:c>
    </x:row>
    <x:row r="59" ht="48" customHeight="1">
      <x:c r="A59" s="388" t="str">
        <x:v>negative/comic-capture-mutates-canon.json</x:v>
      </x:c>
      <x:c r="B59" s="388" t="str">
        <x:v>INVALID</x:v>
      </x:c>
      <x:c r="C59" s="388" t="str">
        <x:v>read-models/comic-capture-source-lock.schema.json #/$defs/ComicCaptureRecord</x:v>
      </x:c>
      <x:c r="D59" s="388" t="str">
        <x:v>C3-ASYNC, C3-A11Y, C3-MEDIA</x:v>
      </x:c>
      <x:c r="E59" s="404" t="str">
        <x:v>PASS</x:v>
      </x:c>
      <x:c r="F59" s="388" t="str">
        <x:v>Comic capture / Source Lock</x:v>
      </x:c>
      <x:c r="G59" s="388" t="str">
        <x:v>Comic capture cannot mutate canon.</x:v>
      </x:c>
      <x:c r="H59" s="388" t="str">
        <x:v>Rejected as designed</x:v>
      </x:c>
    </x:row>
    <x:row r="60" ht="48" customHeight="1">
      <x:c r="A60" s="406" t="str">
        <x:v>negative/issue-zero-blocks-play.json</x:v>
      </x:c>
      <x:c r="B60" s="406" t="str">
        <x:v>INVALID</x:v>
      </x:c>
      <x:c r="C60" s="406" t="str">
        <x:v>read-models/accessibility-content-localization.schema.json #/$defs/IssueZeroAvailability</x:v>
      </x:c>
      <x:c r="D60" s="406" t="str">
        <x:v>C3-ASYNC, C3-A11Y, C3-MEDIA</x:v>
      </x:c>
      <x:c r="E60" s="404" t="str">
        <x:v>PASS</x:v>
      </x:c>
      <x:c r="F60" s="406" t="str">
        <x:v>Issue #0 / onboarding</x:v>
      </x:c>
      <x:c r="G60" s="406" t="str">
        <x:v>Issue #0 cannot block gameplay.</x:v>
      </x:c>
      <x:c r="H60" s="406" t="str">
        <x:v>Rejected as designed</x:v>
      </x:c>
    </x:row>
    <x:row r="61" ht="48" customHeight="1">
      <x:c r="A61" s="388" t="str">
        <x:v>negative/analytics-contains-player-content.json</x:v>
      </x:c>
      <x:c r="B61" s="388" t="str">
        <x:v>INVALID</x:v>
      </x:c>
      <x:c r="C61" s="388" t="str">
        <x:v>telemetry/privacy-safe-analytics.schema.json #/$defs/PrivacySafeAnalyticsEvent</x:v>
      </x:c>
      <x:c r="D61" s="388" t="str">
        <x:v>C3-ASYNC, C3-A11Y, C3-MEDIA</x:v>
      </x:c>
      <x:c r="E61" s="404" t="str">
        <x:v>PASS</x:v>
      </x:c>
      <x:c r="F61" s="388" t="str">
        <x:v>Privacy-safe analytics</x:v>
      </x:c>
      <x:c r="G61" s="388" t="str">
        <x:v>Analytics cannot contain player-entered content.</x:v>
      </x:c>
      <x:c r="H61" s="388" t="str">
        <x:v>Rejected as designed</x:v>
      </x:c>
    </x:row>
    <x:row r="62" ht="48" customHeight="1">
      <x:c r="A62" s="406" t="str">
        <x:v>negative/localization-alters-meaning.json</x:v>
      </x:c>
      <x:c r="B62" s="406" t="str">
        <x:v>INVALID</x:v>
      </x:c>
      <x:c r="C62" s="406" t="str">
        <x:v>read-models/accessibility-content-localization.schema.json #/$defs/LocalizationProfile</x:v>
      </x:c>
      <x:c r="D62" s="406" t="str">
        <x:v>C3-ASYNC, C3-A11Y, C3-MEDIA</x:v>
      </x:c>
      <x:c r="E62" s="404" t="str">
        <x:v>PASS</x:v>
      </x:c>
      <x:c r="F62" s="406" t="str">
        <x:v>Accessibility / content / localization</x:v>
      </x:c>
      <x:c r="G62" s="406" t="str">
        <x:v>Localization must preserve source and outcome meaning.</x:v>
      </x:c>
      <x:c r="H62" s="406" t="str">
        <x:v>Rejected as designed</x:v>
      </x:c>
    </x:row>
    <x:row r="63" ht="48" customHeight="1">
      <x:c r="A63" s="388" t="str">
        <x:v>negative/accessibility-drag-only.json</x:v>
      </x:c>
      <x:c r="B63" s="388" t="str">
        <x:v>INVALID</x:v>
      </x:c>
      <x:c r="C63" s="388" t="str">
        <x:v>read-models/accessibility-content-localization.schema.json #/$defs/AccessibilityProfile</x:v>
      </x:c>
      <x:c r="D63" s="388" t="str">
        <x:v>C3-ASYNC, C3-A11Y, C3-MEDIA</x:v>
      </x:c>
      <x:c r="E63" s="404" t="str">
        <x:v>PASS</x:v>
      </x:c>
      <x:c r="F63" s="388" t="str">
        <x:v>Accessibility / content / localization</x:v>
      </x:c>
      <x:c r="G63" s="388" t="str">
        <x:v>Every drag interaction requires a non-drag alternative.</x:v>
      </x:c>
      <x:c r="H63" s="388" t="str">
        <x:v>Rejected as designed</x:v>
      </x:c>
    </x:row>
    <x:row r="64" ht="48" customHeight="1">
      <x:c r="A64" s="409" t="str">
        <x:v>negative/media-bytes-not-retained.json</x:v>
      </x:c>
      <x:c r="B64" s="409" t="str">
        <x:v>INVALID</x:v>
      </x:c>
      <x:c r="C64" s="409" t="str">
        <x:v>media/media-provenance.schema.json #/$defs/MediaAssetManifest</x:v>
      </x:c>
      <x:c r="D64" s="409" t="str">
        <x:v>C3-ASYNC, C3-A11Y, C3-MEDIA</x:v>
      </x:c>
      <x:c r="E64" s="405" t="str">
        <x:v>PASS</x:v>
      </x:c>
      <x:c r="F64" s="409" t="str">
        <x:v>Media provenance / accessibility</x:v>
      </x:c>
      <x:c r="G64" s="409" t="str">
        <x:v>Accepted media bytes must be retained; exact regeneration is not assumed.</x:v>
      </x:c>
      <x:c r="H64" s="409" t="str">
        <x:v>Rejected as designed</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39" hidden="0" customWidth="1"/>
    <x:col min="4" max="4" width="29" hidden="0" customWidth="1"/>
    <x:col min="5" max="5" width="30" hidden="0" customWidth="1"/>
    <x:col min="6" max="6" width="31" hidden="0" customWidth="1"/>
    <x:col min="7" max="7" width="38" hidden="0" customWidth="1"/>
    <x:col min="8" max="8" width="45" hidden="0" customWidth="1"/>
  </x:cols>
  <x:sheetData>
    <x:row r="1" ht="30" customHeight="1">
      <x:c r="A1" s="328" t="str">
        <x:v>CHECKPOINT C3 • NON-BLOCKING AND PLAYER-SAFE BOUNDARIES</x:v>
      </x:c>
      <x:c r="B1" s="328"/>
      <x:c r="C1" s="328"/>
      <x:c r="D1" s="328"/>
      <x:c r="E1" s="328"/>
      <x:c r="F1" s="328"/>
      <x:c r="G1" s="328"/>
      <x:c r="H1" s="328"/>
    </x:row>
    <x:row r="2" ht="34" customHeight="1">
      <x:c r="A2" s="332" t="str">
        <x:v>What the desktop UI may show, what remains protected, where work persists and how accessibility and comics stay subordinate to canonical play</x:v>
      </x:c>
      <x:c r="B2" s="332"/>
      <x:c r="C2" s="332"/>
      <x:c r="D2" s="332"/>
      <x:c r="E2" s="332"/>
      <x:c r="F2" s="332"/>
      <x:c r="G2" s="332"/>
      <x:c r="H2" s="332"/>
    </x:row>
    <x:row r="4" ht="44" customHeight="1">
      <x:c r="A4" s="375" t="str">
        <x:v>System</x:v>
      </x:c>
      <x:c r="B4" s="375" t="str">
        <x:v>Player-Visible Contract</x:v>
      </x:c>
      <x:c r="C4" s="375" t="str">
        <x:v>Omitted / Protected</x:v>
      </x:c>
      <x:c r="D4" s="375" t="str">
        <x:v>Draft Boundary</x:v>
      </x:c>
      <x:c r="E4" s="375" t="str">
        <x:v>Authority Owner</x:v>
      </x:c>
      <x:c r="F4" s="375" t="str">
        <x:v>Persistence Route</x:v>
      </x:c>
      <x:c r="G4" s="375" t="str">
        <x:v>Deliberate Invalid Gate</x:v>
      </x:c>
      <x:c r="H4" s="375" t="str">
        <x:v>UX Result</x:v>
      </x:c>
    </x:row>
    <x:row r="5" ht="64" customHeight="1">
      <x:c r="A5" s="384" t="str">
        <x:v>Connectivity + save</x:v>
      </x:c>
      <x:c r="B5" s="384" t="str">
        <x:v>Network state, play capability, durable checkpoint and recovery actions</x:v>
      </x:c>
      <x:c r="C5" s="384" t="str">
        <x:v>Private diagnostics and implied failed commits</x:v>
      </x:c>
      <x:c r="D5" s="384" t="str">
        <x:v>Draft/local-safe work may continue</x:v>
      </x:c>
      <x:c r="E5" s="384" t="str">
        <x:v>Recovery coordinator + C1 receipt lookup</x:v>
      </x:c>
      <x:c r="F5" s="384" t="str">
        <x:v>Save + queue + capture + Source Lock</x:v>
      </x:c>
      <x:c r="G5" s="384" t="str">
        <x:v>provider-recovery-drops-queue</x:v>
      </x:c>
      <x:c r="H5" s="384" t="str">
        <x:v>Interruption feels recoverable rather than catastrophic</x:v>
      </x:c>
    </x:row>
    <x:row r="6" ht="64" customHeight="1">
      <x:c r="A6" s="382" t="str">
        <x:v>Attention</x:v>
      </x:c>
      <x:c r="B6" s="382" t="str">
        <x:v>Delivered consequence summaries, urgency, action need and destination</x:v>
      </x:c>
      <x:c r="C6" s="382" t="str">
        <x:v>Undelivered facts, private motives, secret clocks</x:v>
      </x:c>
      <x:c r="D6" s="382" t="str">
        <x:v>Digest read state only</x:v>
      </x:c>
      <x:c r="E6" s="382" t="str">
        <x:v>Projection aggregator</x:v>
      </x:c>
      <x:c r="F6" s="382" t="str">
        <x:v>Chronicle + target surface</x:v>
      </x:c>
      <x:c r="G6" s="382" t="str">
        <x:v>attention-undelivered-fact</x:v>
      </x:c>
      <x:c r="H6" s="382" t="str">
        <x:v>A living world stays legible without becoming omniscient spam</x:v>
      </x:c>
    </x:row>
    <x:row r="7" ht="64" customHeight="1">
      <x:c r="A7" s="385" t="str">
        <x:v>Accessibility</x:v>
      </x:c>
      <x:c r="B7" s="385" t="str">
        <x:v>Input modes, text, contrast, motion, live-update and screen-reader preferences</x:v>
      </x:c>
      <x:c r="C7" s="385" t="str">
        <x:v>No mechanic available only by hover, color, drag or motion</x:v>
      </x:c>
      <x:c r="D7" s="385" t="str">
        <x:v>Preferences are reversible</x:v>
      </x:c>
      <x:c r="E7" s="385" t="str">
        <x:v>Preference service</x:v>
      </x:c>
      <x:c r="F7" s="385" t="str">
        <x:v>All surfaces</x:v>
      </x:c>
      <x:c r="G7" s="385" t="str">
        <x:v>accessibility-drag-only</x:v>
      </x:c>
      <x:c r="H7" s="385" t="str">
        <x:v>Accessibility changes how play is presented, never what play permits</x:v>
      </x:c>
    </x:row>
    <x:row r="8" ht="64" customHeight="1">
      <x:c r="A8" s="382" t="str">
        <x:v>Content controls</x:v>
      </x:c>
      <x:c r="B8" s="382" t="str">
        <x:v>Confirmed Lines, Veils and presentation intensity</x:v>
      </x:c>
      <x:c r="C8" s="382" t="str">
        <x:v>No sensitive inference from prose</x:v>
      </x:c>
      <x:c r="D8" s="382" t="str">
        <x:v>Review before confirmation</x:v>
      </x:c>
      <x:c r="E8" s="382" t="str">
        <x:v>Content-control service</x:v>
      </x:c>
      <x:c r="F8" s="382" t="str">
        <x:v>Gameplay + comic presentation</x:v>
      </x:c>
      <x:c r="G8" s="382" t="str">
        <x:v>unconfirmed/inferred settings</x:v>
      </x:c>
      <x:c r="H8" s="382" t="str">
        <x:v>Boundaries remain explicit and trustworthy</x:v>
      </x:c>
    </x:row>
    <x:row r="9" ht="64" customHeight="1">
      <x:c r="A9" s="385" t="str">
        <x:v>Localization</x:v>
      </x:c>
      <x:c r="B9" s="385" t="str">
        <x:v>Locale, direction, terminology and reflow</x:v>
      </x:c>
      <x:c r="C9" s="385" t="str">
        <x:v>Meaning changes, hidden-info expansion</x:v>
      </x:c>
      <x:c r="D9" s="385" t="str">
        <x:v>Preview reflow</x:v>
      </x:c>
      <x:c r="E9" s="385" t="str">
        <x:v>Localization service</x:v>
      </x:c>
      <x:c r="F9" s="385" t="str">
        <x:v>UI + lettering layers</x:v>
      </x:c>
      <x:c r="G9" s="385" t="str">
        <x:v>localization-alters-meaning</x:v>
      </x:c>
      <x:c r="H9" s="385" t="str">
        <x:v>Translation preserves promises, facts and consequences</x:v>
      </x:c>
    </x:row>
    <x:row r="10" ht="64" customHeight="1">
      <x:c r="A10" s="382" t="str">
        <x:v>Issue #0</x:v>
      </x:c>
      <x:c r="B10" s="382" t="str">
        <x:v>Read, summarize, defer or skip; fallback summary</x:v>
      </x:c>
      <x:c r="C10" s="382" t="str">
        <x:v>No forced reading or gameplay penalty</x:v>
      </x:c>
      <x:c r="D10" s="382" t="str">
        <x:v>Choice remains reversible before start</x:v>
      </x:c>
      <x:c r="E10" s="382" t="str">
        <x:v>Onboarding projection</x:v>
      </x:c>
      <x:c r="F10" s="382" t="str">
        <x:v>Home + onboarding</x:v>
      </x:c>
      <x:c r="G10" s="382" t="str">
        <x:v>issue-zero-blocks-play</x:v>
      </x:c>
      <x:c r="H10" s="382" t="str">
        <x:v>The world is introduced without a lore gate</x:v>
      </x:c>
    </x:row>
    <x:row r="11" ht="64" customHeight="1">
      <x:c r="A11" s="385" t="str">
        <x:v>Comic capture</x:v>
      </x:c>
      <x:c r="B11" s="385" t="str">
        <x:v>Event IDs, dialogue, visible state, viewpoint and Beat candidates</x:v>
      </x:c>
      <x:c r="C11" s="385" t="str">
        <x:v>No expensive generation or canon mutation</x:v>
      </x:c>
      <x:c r="D11" s="385" t="str">
        <x:v>Lightweight record only</x:v>
      </x:c>
      <x:c r="E11" s="385" t="str">
        <x:v>Capture projection</x:v>
      </x:c>
      <x:c r="F11" s="385" t="str">
        <x:v>Chronicle + media queue</x:v>
      </x:c>
      <x:c r="G11" s="385" t="str">
        <x:v>comic-capture-mutates-canon</x:v>
      </x:c>
      <x:c r="H11" s="385" t="str">
        <x:v>The comic grows from play without turning play into a render wait</x:v>
      </x:c>
    </x:row>
    <x:row r="12" ht="64" customHeight="1">
      <x:c r="A12" s="382" t="str">
        <x:v>Source Lock</x:v>
      </x:c>
      <x:c r="B12" s="382" t="str">
        <x:v>Event range, Canon Snapshot, viewpoint, ceiling and beat decisions</x:v>
      </x:c>
      <x:c r="C12" s="382" t="str">
        <x:v>No gameplay or Ledger Time freeze</x:v>
      </x:c>
      <x:c r="D12" s="382" t="str">
        <x:v>Review/defer before lock</x:v>
      </x:c>
      <x:c r="E12" s="382" t="str">
        <x:v>Media authority</x:v>
      </x:c>
      <x:c r="F12" s="382" t="str">
        <x:v>Immutable adaptation window</x:v>
      </x:c>
      <x:c r="G12" s="382" t="str">
        <x:v>source-lock-freezes-gameplay</x:v>
      </x:c>
      <x:c r="H12" s="382" t="str">
        <x:v>The comic gets a stable source while the world keeps moving</x:v>
      </x:c>
    </x:row>
    <x:row r="13" ht="64" customHeight="1">
      <x:c r="A13" s="385" t="str">
        <x:v>Comic queue</x:v>
      </x:c>
      <x:c r="B13" s="385" t="str">
        <x:v>Honest stage, completed checkpoints, provider state and recovery</x:v>
      </x:c>
      <x:c r="C13" s="385" t="str">
        <x:v>No invented percentage or promised ETA</x:v>
      </x:c>
      <x:c r="D13" s="385" t="str">
        <x:v>WIP policy only</x:v>
      </x:c>
      <x:c r="E13" s="385" t="str">
        <x:v>Media job coordinator</x:v>
      </x:c>
      <x:c r="F13" s="385" t="str">
        <x:v>Durable background queue</x:v>
      </x:c>
      <x:c r="G13" s="385" t="str">
        <x:v>comic-job-invented-percentage; comic-job-promised-eta</x:v>
      </x:c>
      <x:c r="H13" s="385" t="str">
        <x:v>Long production feels transparent, not broken</x:v>
      </x:c>
    </x:row>
    <x:row r="14" ht="64" customHeight="1">
      <x:c r="A14" s="382" t="str">
        <x:v>WIP + reader</x:v>
      </x:c>
      <x:c r="B14" s="382" t="str">
        <x:v>Opt-in WIP, passed pages, knowledge ceiling, reading order and alt text</x:v>
      </x:c>
      <x:c r="C14" s="382" t="str">
        <x:v>No unapproved or spoiler-bearing page</x:v>
      </x:c>
      <x:c r="D14" s="382" t="str">
        <x:v>Reader position only</x:v>
      </x:c>
      <x:c r="E14" s="382" t="str">
        <x:v>Publication projection</x:v>
      </x:c>
      <x:c r="F14" s="382" t="str">
        <x:v>Reader + issue library</x:v>
      </x:c>
      <x:c r="G14" s="382" t="str">
        <x:v>wip-without-opt-in; wip-above-knowledge-ceiling</x:v>
      </x:c>
      <x:c r="H14" s="382" t="str">
        <x:v>Optional process visibility never compromises the finished work</x:v>
      </x:c>
    </x:row>
    <x:row r="15" ht="64" customHeight="1">
      <x:c r="A15" s="385" t="str">
        <x:v>Publication + editions</x:v>
      </x:c>
      <x:c r="B15" s="385" t="str">
        <x:v>QA, rights, provenance, accessibility and superseding history</x:v>
      </x:c>
      <x:c r="C15" s="385" t="str">
        <x:v>No silent overwrite or failed asset</x:v>
      </x:c>
      <x:c r="D15" s="385" t="str">
        <x:v>Publish only after hard gates</x:v>
      </x:c>
      <x:c r="E15" s="385" t="str">
        <x:v>QA + publication services</x:v>
      </x:c>
      <x:c r="F15" s="385" t="str">
        <x:v>Immutable edition library</x:v>
      </x:c>
      <x:c r="G15" s="385" t="str">
        <x:v>published-asset-without-qa; correction-overwrites-edition</x:v>
      </x:c>
      <x:c r="H15" s="385" t="str">
        <x:v>The comic behaves like a professional editioned product</x:v>
      </x:c>
    </x:row>
    <x:row r="16" ht="64" customHeight="1">
      <x:c r="A16" s="383" t="str">
        <x:v>Analytics</x:v>
      </x:c>
      <x:c r="B16" s="383" t="str">
        <x:v>Coarse category, surface, outcome, consent and retention</x:v>
      </x:c>
      <x:c r="C16" s="383" t="str">
        <x:v>No prose, prompt, dialogue, private canon or asset bytes</x:v>
      </x:c>
      <x:c r="D16" s="383" t="str">
        <x:v>None</x:v>
      </x:c>
      <x:c r="E16" s="383" t="str">
        <x:v>Telemetry boundary</x:v>
      </x:c>
      <x:c r="F16" s="383" t="str">
        <x:v>Aggregate diagnostics only</x:v>
      </x:c>
      <x:c r="G16" s="383" t="str">
        <x:v>analytics-contains-player-content</x:v>
      </x:c>
      <x:c r="H16" s="383" t="str">
        <x:v>Measurement cannot become surveillance or alter the campaign</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defaultRowHeight="15"/>
  <x:cols>
    <x:col min="1" max="1" width="23" hidden="0" customWidth="1"/>
    <x:col min="2" max="2" width="43" hidden="0" customWidth="1"/>
    <x:col min="3" max="3" width="4" hidden="0" customWidth="1"/>
    <x:col min="4" max="4" width="30" hidden="0" customWidth="1"/>
    <x:col min="5" max="5" width="15" hidden="0" customWidth="1"/>
    <x:col min="6" max="6" width="4" hidden="0" customWidth="1"/>
    <x:col min="7" max="7" width="28" hidden="0" customWidth="1"/>
    <x:col min="8" max="8" width="28" hidden="0" customWidth="1"/>
  </x:cols>
  <x:sheetData>
    <x:row r="1" ht="30" customHeight="1">
      <x:c r="A1" s="424" t="str">
        <x:v>MYTHIC SUPERHERO RPG • PHASE 6 CHECKPOINT C4</x:v>
      </x:c>
      <x:c r="B1" s="424" t="str">
        <x:v>MYTHIC SUPERHERO RPG • PHASE 6 CHECKPOINT C4</x:v>
      </x:c>
      <x:c r="C1" s="424" t="str">
        <x:v>MYTHIC SUPERHERO RPG • PHASE 6 CHECKPOINT C4</x:v>
      </x:c>
      <x:c r="D1" s="424" t="str">
        <x:v>MYTHIC SUPERHERO RPG • PHASE 6 CHECKPOINT C4</x:v>
      </x:c>
      <x:c r="E1" s="424" t="str">
        <x:v>MYTHIC SUPERHERO RPG • PHASE 6 CHECKPOINT C4</x:v>
      </x:c>
      <x:c r="F1" s="424" t="str">
        <x:v>MYTHIC SUPERHERO RPG • PHASE 6 CHECKPOINT C4</x:v>
      </x:c>
      <x:c r="G1" s="424" t="str">
        <x:v>MYTHIC SUPERHERO RPG • PHASE 6 CHECKPOINT C4</x:v>
      </x:c>
      <x:c r="H1" s="424" t="str">
        <x:v>MYTHIC SUPERHERO RPG • PHASE 6 CHECKPOINT C4</x:v>
      </x:c>
    </x:row>
    <x:row r="2" ht="34" customHeight="1">
      <x:c r="A2" s="428" t="str">
        <x:v>Complete contract trace, sequenced pre-engineering backlog and explicit implementation authorization gate</x:v>
      </x:c>
      <x:c r="B2" s="428" t="str">
        <x:v>Complete contract trace, sequenced pre-engineering backlog and explicit implementation authorization gate</x:v>
      </x:c>
      <x:c r="C2" s="428" t="str">
        <x:v>Complete contract trace, sequenced pre-engineering backlog and explicit implementation authorization gate</x:v>
      </x:c>
      <x:c r="D2" s="428" t="str">
        <x:v>Complete contract trace, sequenced pre-engineering backlog and explicit implementation authorization gate</x:v>
      </x:c>
      <x:c r="E2" s="428" t="str">
        <x:v>Complete contract trace, sequenced pre-engineering backlog and explicit implementation authorization gate</x:v>
      </x:c>
      <x:c r="F2" s="428" t="str">
        <x:v>Complete contract trace, sequenced pre-engineering backlog and explicit implementation authorization gate</x:v>
      </x:c>
      <x:c r="G2" s="428" t="str">
        <x:v>Complete contract trace, sequenced pre-engineering backlog and explicit implementation authorization gate</x:v>
      </x:c>
      <x:c r="H2" s="428" t="str">
        <x:v>Complete contract trace, sequenced pre-engineering backlog and explicit implementation authorization gate</x:v>
      </x:c>
    </x:row>
    <x:row r="3" ht="24" customHeight="1"/>
    <x:row r="4" ht="40" customHeight="1">
      <x:c r="A4" s="432" t="str">
        <x:v>Approved dependencies</x:v>
      </x:c>
      <x:c r="B4" s="436" t="str">
        <x:v>C1 + C2 + C3 · approved and locked 2026-08-23</x:v>
      </x:c>
      <x:c r="D4" s="442" t="str">
        <x:v>C4 PLANNING APPROVED AND LOCKED</x:v>
      </x:c>
      <x:c r="E4" s="442" t="str">
        <x:v>C4 PLANNING APPROVED AND LOCKED</x:v>
      </x:c>
      <x:c r="F4" s="442" t="str">
        <x:v>C4 PLANNING APPROVED AND LOCKED</x:v>
      </x:c>
      <x:c r="G4" s="442" t="str">
        <x:v>C4 PLANNING APPROVED AND LOCKED</x:v>
      </x:c>
      <x:c r="H4" s="442" t="str">
        <x:v>C4 PLANNING APPROVED AND LOCKED</x:v>
      </x:c>
    </x:row>
    <x:row r="5" ht="40" customHeight="1">
      <x:c r="A5" s="432" t="str">
        <x:v>C4 status</x:v>
      </x:c>
      <x:c r="B5" s="436" t="str">
        <x:v>Approved and locked · 2026-08-23</x:v>
      </x:c>
      <x:c r="D5" s="445" t="str">
        <x:v>Approved fixture expectations</x:v>
      </x:c>
      <x:c r="E5" s="446" t="n">
        <x:v>127</x:v>
      </x:c>
      <x:c r="G5" s="449" t="str">
        <x:v>APPROVED TRACEABILITY</x:v>
      </x:c>
      <x:c r="H5" s="449" t="str">
        <x:v>APPROVED TRACEABILITY</x:v>
      </x:c>
    </x:row>
    <x:row r="6" ht="40" customHeight="1">
      <x:c r="A6" s="432" t="str">
        <x:v>Primary experience</x:v>
      </x:c>
      <x:c r="B6" s="436" t="str">
        <x:v>Desktop browser · Adaptive Living World Stage · Ledger Time</x:v>
      </x:c>
      <x:c r="D6" s="445" t="str">
        <x:v>Required scenarios traced</x:v>
      </x:c>
      <x:c r="E6" s="446" t="n">
        <x:f>COUNTA('C4 Scenario Closure'!A5:A100)</x:f>
        <x:v>17</x:v>
      </x:c>
      <x:c r="G6"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c r="H6"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row>
    <x:row r="7" ht="40" customHeight="1">
      <x:c r="A7" s="432" t="str">
        <x:v>Experience character</x:v>
      </x:c>
      <x:c r="B7" s="436" t="str">
        <x:v>Enjoyable living RPG · progressive disclosure · never a chatbot skin</x:v>
      </x:c>
      <x:c r="D7" s="445" t="str">
        <x:v>Components traced</x:v>
      </x:c>
      <x:c r="E7" s="446" t="n">
        <x:f>COUNTA('C4 Component Closure'!A5:A100)</x:f>
        <x:v>40</x:v>
      </x:c>
      <x:c r="G7"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c r="H7"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row>
    <x:row r="8" ht="40" customHeight="1">
      <x:c r="A8" s="432" t="str">
        <x:v>High-fidelity workflow</x:v>
      </x:c>
      <x:c r="B8" s="436" t="str">
        <x:v>Figma-free · code-native library and direct/generated assets</x:v>
      </x:c>
      <x:c r="D8" s="445" t="str">
        <x:v>Sequenced backlog items</x:v>
      </x:c>
      <x:c r="E8" s="446" t="n">
        <x:f>COUNTA('C4 Implementation Backlog'!B5:B100)</x:f>
        <x:v>24</x:v>
      </x:c>
      <x:c r="G8"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c r="H8"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row>
    <x:row r="9" ht="40" customHeight="1">
      <x:c r="A9" s="432" t="str">
        <x:v>Implementation authorization</x:v>
      </x:c>
      <x:c r="B9" s="439" t="str">
        <x:v>CLOSED</x:v>
      </x:c>
      <x:c r="D9" s="445" t="str">
        <x:v>CI / release gates</x:v>
      </x:c>
      <x:c r="E9" s="446" t="n">
        <x:f>COUNTA('C4 CI Release Gates'!A5:A100)</x:f>
        <x:v>15</x:v>
      </x:c>
      <x:c r="G9"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c r="H9"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row>
    <x:row r="10" ht="40" customHeight="1">
      <x:c r="A10" s="432" t="str">
        <x:v>Next authorized work</x:v>
      </x:c>
      <x:c r="B10" s="436" t="str">
        <x:v>Figma-free UI-01 through UI-04 finalization after C4 approval</x:v>
      </x:c>
      <x:c r="D10" s="445" t="str">
        <x:v>Failed planning gates</x:v>
      </x:c>
      <x:c r="E10" s="446" t="n">
        <x:v>0</x:v>
      </x:c>
      <x:c r="G10"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c r="H10" s="450" t="str">
        <x:v>Approved on 2026-08-23: 17/17 scenarios and 40/40 components have contract IDs, fixture/test evidence, engine prerequisites, frontend ownership and release validation. The backlog joins engine and frontend work into usable player capabilities. Production implementation remains closed.</x:v>
      </x:c>
    </x:row>
    <x:row r="11" ht="24" customHeight="1"/>
    <x:row r="12" ht="24" customHeight="1">
      <x:c r="A12" s="452" t="str">
        <x:v>VERTICAL IMPLEMENTATION ORDER</x:v>
      </x:c>
      <x:c r="B12" s="452" t="str">
        <x:v>VERTICAL IMPLEMENTATION ORDER</x:v>
      </x:c>
      <x:c r="C12" s="452" t="str">
        <x:v>VERTICAL IMPLEMENTATION ORDER</x:v>
      </x:c>
      <x:c r="D12" s="452" t="str">
        <x:v>VERTICAL IMPLEMENTATION ORDER</x:v>
      </x:c>
      <x:c r="E12" s="452" t="str">
        <x:v>VERTICAL IMPLEMENTATION ORDER</x:v>
      </x:c>
      <x:c r="F12" s="452" t="str">
        <x:v>VERTICAL IMPLEMENTATION ORDER</x:v>
      </x:c>
      <x:c r="G12" s="452" t="str">
        <x:v>VERTICAL IMPLEMENTATION ORDER</x:v>
      </x:c>
      <x:c r="H12" s="452" t="str">
        <x:v>VERTICAL IMPLEMENTATION ORDER</x:v>
      </x:c>
    </x:row>
    <x:row r="13" ht="48" customHeight="1">
      <x:c r="A13" s="458" t="str">
        <x:v>1</x:v>
      </x:c>
      <x:c r="B13" s="459" t="str">
        <x:v>Prerequisites</x:v>
      </x:c>
      <x:c r="C13" s="457" t="str">
        <x:v>Generated contracts → safe projections → idempotent commands → ordered recovery → preferences → durable media.</x:v>
      </x:c>
      <x:c r="D13" s="457"/>
      <x:c r="E13" s="457"/>
      <x:c r="F13" s="457"/>
      <x:c r="G13" s="457"/>
      <x:c r="H13" s="457"/>
    </x:row>
    <x:row r="14" ht="48" customHeight="1">
      <x:c r="A14" s="463" t="str">
        <x:v>2</x:v>
      </x:c>
      <x:c r="B14" s="464" t="str">
        <x:v>Figma-free UI closure</x:v>
      </x:c>
      <x:c r="C14" s="462" t="str">
        <x:v>Code-native library → final screens/states → asset manifest → frontend execution specification.</x:v>
      </x:c>
      <x:c r="D14" s="462"/>
      <x:c r="E14" s="462"/>
      <x:c r="F14" s="462"/>
      <x:c r="G14" s="462"/>
      <x:c r="H14" s="462"/>
    </x:row>
    <x:row r="15" ht="48" customHeight="1">
      <x:c r="A15" s="458" t="str">
        <x:v>3</x:v>
      </x:c>
      <x:c r="B15" s="459" t="str">
        <x:v>Core player slice</x:v>
      </x:c>
      <x:c r="C15" s="457" t="str">
        <x:v>Campaign Entry → Stage → Intent → Commit → Outcome → Chronicle.</x:v>
      </x:c>
      <x:c r="D15" s="457"/>
      <x:c r="E15" s="457"/>
      <x:c r="F15" s="457"/>
      <x:c r="G15" s="457"/>
      <x:c r="H15" s="457"/>
    </x:row>
    <x:row r="16" ht="48" customHeight="1">
      <x:c r="A16" s="463" t="str">
        <x:v>4</x:v>
      </x:c>
      <x:c r="B16" s="464" t="str">
        <x:v>World breadth</x:v>
      </x:c>
      <x:c r="C16" s="462" t="str">
        <x:v>Character → Company/Relics → Holdings/Projects → World/Travel/Sites/Evidence/Fronts/Law.</x:v>
      </x:c>
      <x:c r="D16" s="462"/>
      <x:c r="E16" s="462"/>
      <x:c r="F16" s="462"/>
      <x:c r="G16" s="462"/>
      <x:c r="H16" s="462"/>
    </x:row>
    <x:row r="17" ht="48" customHeight="1">
      <x:c r="A17" s="458" t="str">
        <x:v>5</x:v>
      </x:c>
      <x:c r="B17" s="459" t="str">
        <x:v>Async + media</x:v>
      </x:c>
      <x:c r="C17" s="457" t="str">
        <x:v>Attention/recovery → Comic capture/Source Lock/queue → Reader/editions → settings/accessibility/localization.</x:v>
      </x:c>
      <x:c r="D17" s="457"/>
      <x:c r="E17" s="457"/>
      <x:c r="F17" s="457"/>
      <x:c r="G17" s="457"/>
      <x:c r="H17" s="457"/>
    </x:row>
    <x:row r="18" ht="48" customHeight="1">
      <x:c r="A18" s="463" t="str">
        <x:v>6</x:v>
      </x:c>
      <x:c r="B18" s="464" t="str">
        <x:v>Release</x:v>
      </x:c>
      <x:c r="C18" s="462" t="str">
        <x:v>Contract + scenario suite → AT/localization/device validation → clean new-session Codex execution package.</x:v>
      </x:c>
      <x:c r="D18" s="462"/>
      <x:c r="E18" s="462"/>
      <x:c r="F18" s="462"/>
      <x:c r="G18" s="462"/>
      <x:c r="H18" s="462"/>
    </x:row>
    <x:row r="19" ht="24" customHeight="1"/>
    <x:row r="20" ht="24" customHeight="1">
      <x:c r="A20" s="466" t="str">
        <x:v>SEPARATE IMPLEMENTATION-AUTHORIZATION DECISION · STILL CLOSED</x:v>
      </x:c>
      <x:c r="B20" s="466" t="str">
        <x:v>SEPARATE IMPLEMENTATION-AUTHORIZATION DECISION · STILL CLOSED</x:v>
      </x:c>
      <x:c r="C20" s="466" t="str">
        <x:v>SEPARATE IMPLEMENTATION-AUTHORIZATION DECISION · STILL CLOSED</x:v>
      </x:c>
      <x:c r="D20" s="466" t="str">
        <x:v>SEPARATE IMPLEMENTATION-AUTHORIZATION DECISION · STILL CLOSED</x:v>
      </x:c>
      <x:c r="E20" s="466" t="str">
        <x:v>SEPARATE IMPLEMENTATION-AUTHORIZATION DECISION · STILL CLOSED</x:v>
      </x:c>
      <x:c r="F20" s="466" t="str">
        <x:v>SEPARATE IMPLEMENTATION-AUTHORIZATION DECISION · STILL CLOSED</x:v>
      </x:c>
      <x:c r="G20" s="466" t="str">
        <x:v>SEPARATE IMPLEMENTATION-AUTHORIZATION DECISION · STILL CLOSED</x:v>
      </x:c>
      <x:c r="H20" s="466" t="str">
        <x:v>SEPARATE IMPLEMENTATION-AUTHORIZATION DECISION · STILL CLOSED</x:v>
      </x:c>
    </x:row>
    <x:row r="21" ht="34" customHeight="1">
      <x:c r="A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B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C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D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E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F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G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H21"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row>
    <x:row r="22" ht="34" customHeight="1">
      <x:c r="A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B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C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D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E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F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G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H22"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row>
    <x:row r="23" ht="34" customHeight="1">
      <x:c r="A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B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C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D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E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F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G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H23"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row>
    <x:row r="24" ht="34" customHeight="1">
      <x:c r="A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B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C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D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E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F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G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c r="H24" s="470" t="str">
        <x:v>C4 planning and traceability are approved. Production implementation authorization remains withheld because the code-native component library, final high-fidelity screen/state set, asset manifest and frontend execution specification must be completed and accepted before a clean Codex implementation handoff.</x:v>
      </x:c>
    </x:row>
    <x:row r="25" ht="24" customHeight="1"/>
    <x:row r="26" ht="24" customHeight="1">
      <x:c r="A26" s="472" t="str">
        <x:v>C4 APPROVED BOUNDARY</x:v>
      </x:c>
      <x:c r="B26" s="472" t="str">
        <x:v>C4 APPROVED BOUNDARY</x:v>
      </x:c>
      <x:c r="C26" s="472" t="str">
        <x:v>C4 APPROVED BOUNDARY</x:v>
      </x:c>
      <x:c r="D26" s="472" t="str">
        <x:v>C4 APPROVED BOUNDARY</x:v>
      </x:c>
      <x:c r="E26" s="472" t="str">
        <x:v>C4 APPROVED BOUNDARY</x:v>
      </x:c>
      <x:c r="F26" s="472" t="str">
        <x:v>C4 APPROVED BOUNDARY</x:v>
      </x:c>
      <x:c r="G26" s="472" t="str">
        <x:v>C4 APPROVED BOUNDARY</x:v>
      </x:c>
      <x:c r="H26" s="472" t="str">
        <x:v>C4 APPROVED BOUNDARY</x:v>
      </x:c>
    </x:row>
    <x:row r="27" ht="30" customHeight="1">
      <x:c r="A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B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C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D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E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F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G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H27"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row>
    <x:row r="28" ht="30" customHeight="1">
      <x:c r="A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B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C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D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E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F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G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H28"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row>
    <x:row r="29" ht="30" customHeight="1">
      <x:c r="A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B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C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D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E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F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G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H29"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row>
    <x:row r="30" ht="30" customHeight="1">
      <x:c r="A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B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C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D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E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F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G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c r="H30" s="476" t="str">
        <x:v>Approval locks scenario/component closure, backlog sequencing, dependency boundaries, CI/release plans and the CLOSED production gate. It authorizes only Figma-free UI finalization work (UI-01 through UI-04). It does not authorize production frontend construction, live engine integration, provider selection, deployment, public release or the clean-session Codex execution run.</x:v>
      </x:c>
    </x:row>
  </x:sheetData>
  <x:mergeCells>
    <x:mergeCell ref="A1:H1"/>
    <x:mergeCell ref="A2:H2"/>
    <x:mergeCell ref="D4:H4"/>
    <x:mergeCell ref="G5:H5"/>
    <x:mergeCell ref="G6:H10"/>
    <x:mergeCell ref="A12:H12"/>
    <x:mergeCell ref="C13:H13"/>
    <x:mergeCell ref="C14:H14"/>
    <x:mergeCell ref="C15:H15"/>
    <x:mergeCell ref="C16:H16"/>
    <x:mergeCell ref="C17:H17"/>
    <x:mergeCell ref="C18:H18"/>
    <x:mergeCell ref="A20:H20"/>
    <x:mergeCell ref="A21:H24"/>
    <x:mergeCell ref="A26:H26"/>
    <x:mergeCell ref="A27:H30"/>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defaultRowHeight="15"/>
  <x:cols>
    <x:col min="1" max="1" width="13" hidden="0" customWidth="1"/>
    <x:col min="2" max="2" width="48" hidden="0" customWidth="1"/>
    <x:col min="3" max="3" width="52" hidden="0" customWidth="1"/>
    <x:col min="4" max="4" width="48" hidden="0" customWidth="1"/>
    <x:col min="5" max="5" width="43" hidden="0" customWidth="1"/>
    <x:col min="6" max="6" width="35" hidden="0" customWidth="1"/>
    <x:col min="7" max="7" width="44" hidden="0" customWidth="1"/>
    <x:col min="8" max="8" width="24" hidden="0" customWidth="1"/>
    <x:col min="9" max="9" width="36" hidden="0" customWidth="1"/>
  </x:cols>
  <x:sheetData>
    <x:row r="1">
      <x:c r="A1" s="424" t="str">
        <x:v>CHECKPOINT C4 • 17-SCENARIO CONTRACT + TEST CLOSURE</x:v>
      </x:c>
      <x:c r="B1" s="424" t="str">
        <x:v>CHECKPOINT C4 • 17-SCENARIO CONTRACT + TEST CLOSURE</x:v>
      </x:c>
      <x:c r="C1" s="424" t="str">
        <x:v>CHECKPOINT C4 • 17-SCENARIO CONTRACT + TEST CLOSURE</x:v>
      </x:c>
      <x:c r="D1" s="424" t="str">
        <x:v>CHECKPOINT C4 • 17-SCENARIO CONTRACT + TEST CLOSURE</x:v>
      </x:c>
      <x:c r="E1" s="424" t="str">
        <x:v>CHECKPOINT C4 • 17-SCENARIO CONTRACT + TEST CLOSURE</x:v>
      </x:c>
      <x:c r="F1" s="424" t="str">
        <x:v>CHECKPOINT C4 • 17-SCENARIO CONTRACT + TEST CLOSURE</x:v>
      </x:c>
      <x:c r="G1" s="424" t="str">
        <x:v>CHECKPOINT C4 • 17-SCENARIO CONTRACT + TEST CLOSURE</x:v>
      </x:c>
      <x:c r="H1" s="424" t="str">
        <x:v>CHECKPOINT C4 • 17-SCENARIO CONTRACT + TEST CLOSURE</x:v>
      </x:c>
      <x:c r="I1" s="424" t="str">
        <x:v>CHECKPOINT C4 • 17-SCENARIO CONTRACT + TEST CLOSURE</x:v>
      </x:c>
    </x:row>
    <x:row r="2">
      <x:c r="A2" s="428" t="str">
        <x:v>Every approved scenario has contracts, deterministic evidence, engine prerequisites, a frontend slice and a release-validation boundary</x:v>
      </x:c>
      <x:c r="B2" s="428" t="str">
        <x:v>Every approved scenario has contracts, deterministic evidence, engine prerequisites, a frontend slice and a release-validation boundary</x:v>
      </x:c>
      <x:c r="C2" s="428" t="str">
        <x:v>Every approved scenario has contracts, deterministic evidence, engine prerequisites, a frontend slice and a release-validation boundary</x:v>
      </x:c>
      <x:c r="D2" s="428" t="str">
        <x:v>Every approved scenario has contracts, deterministic evidence, engine prerequisites, a frontend slice and a release-validation boundary</x:v>
      </x:c>
      <x:c r="E2" s="428" t="str">
        <x:v>Every approved scenario has contracts, deterministic evidence, engine prerequisites, a frontend slice and a release-validation boundary</x:v>
      </x:c>
      <x:c r="F2" s="428" t="str">
        <x:v>Every approved scenario has contracts, deterministic evidence, engine prerequisites, a frontend slice and a release-validation boundary</x:v>
      </x:c>
      <x:c r="G2" s="428" t="str">
        <x:v>Every approved scenario has contracts, deterministic evidence, engine prerequisites, a frontend slice and a release-validation boundary</x:v>
      </x:c>
      <x:c r="H2" s="428" t="str">
        <x:v>Every approved scenario has contracts, deterministic evidence, engine prerequisites, a frontend slice and a release-validation boundary</x:v>
      </x:c>
      <x:c r="I2" s="428" t="str">
        <x:v>Every approved scenario has contracts, deterministic evidence, engine prerequisites, a frontend slice and a release-validation boundary</x:v>
      </x:c>
    </x:row>
    <x:row r="4">
      <x:c r="A4" s="483" t="str">
        <x:v>Scenario</x:v>
      </x:c>
      <x:c r="B4" s="484" t="str">
        <x:v>Required Experience</x:v>
      </x:c>
      <x:c r="C4" s="484" t="str">
        <x:v>Approved Contract IDs</x:v>
      </x:c>
      <x:c r="D4" s="484" t="str">
        <x:v>Fixtures / Contract Evidence</x:v>
      </x:c>
      <x:c r="E4" s="484" t="str">
        <x:v>Engine Prerequisites</x:v>
      </x:c>
      <x:c r="F4" s="484" t="str">
        <x:v>Frontend Slice</x:v>
      </x:c>
      <x:c r="G4" s="484" t="str">
        <x:v>Release Validation</x:v>
      </x:c>
      <x:c r="H4" s="484" t="str">
        <x:v>Trace Status</x:v>
      </x:c>
      <x:c r="I4" s="485" t="str">
        <x:v>Implementation Status</x:v>
      </x:c>
    </x:row>
    <x:row r="5" ht="84" customHeight="1">
      <x:c r="A5" s="457" t="str">
        <x:v>SCN-01</x:v>
      </x:c>
      <x:c r="B5" s="457" t="str">
        <x:v>First-time player reaches meaningful choice in 90 seconds</x:v>
      </x:c>
      <x:c r="C5" s="457" t="str">
        <x:v>RM-002, RM-003, RM-005, C3-A11Y-004, C3-A11Y-002</x:v>
      </x:c>
      <x:c r="D5" s="457" t="str">
        <x:v>world-strip-current; stage-frame-current; intent-capability; issue-zero-skip</x:v>
      </x:c>
      <x:c r="E5" s="457" t="str">
        <x:v>Projection gateway, campaign resume, save checkpoint and Issue #0 fallback</x:v>
      </x:c>
      <x:c r="F5" s="457" t="str">
        <x:v>VS-01 Campaign Entry + VS-02 Living Stage</x:v>
      </x:c>
      <x:c r="G5" s="457" t="str">
        <x:v>Timed first-choice usability; keyboard-only path; no lore gate</x:v>
      </x:c>
      <x:c r="H5" s="495" t="str">
        <x:v>Contract trace complete</x:v>
      </x:c>
      <x:c r="I5" s="504" t="str">
        <x:v>Pending authorized implementation and release validation</x:v>
      </x:c>
    </x:row>
    <x:row r="6" ht="84" customHeight="1">
      <x:c r="A6" s="486" t="str">
        <x:v>SCN-02</x:v>
      </x:c>
      <x:c r="B6" s="486" t="str">
        <x:v>Expert creates custom legal build and audits every BP</x:v>
      </x:c>
      <x:c r="C6" s="486" t="str">
        <x:v>C2-CHAR-001, C2-CHAR-002, C2-CHAR-004, C2-CHAR-005, COMMON-003</x:v>
      </x:c>
      <x:c r="D6" s="486" t="str">
        <x:v>advancement-draft; draft/commit advancement; silent-bp-spend rejected</x:v>
      </x:c>
      <x:c r="E6" s="486" t="str">
        <x:v>Character projection, advancement validator and immutable BP ledger</x:v>
      </x:c>
      <x:c r="F6" s="486" t="str">
        <x:v>VS-04 Character + BP Ledger</x:v>
      </x:c>
      <x:c r="G6" s="486" t="str">
        <x:v>Expert build audit; stale draft conflict; zero silent spend</x:v>
      </x:c>
      <x:c r="H6" s="496" t="str">
        <x:v>Contract trace complete</x:v>
      </x:c>
      <x:c r="I6" s="505" t="str">
        <x:v>Pending authorized implementation and release validation</x:v>
      </x:c>
    </x:row>
    <x:row r="7" ht="84" customHeight="1">
      <x:c r="A7" s="487" t="str">
        <x:v>SCN-03</x:v>
      </x:c>
      <x:c r="B7" s="487" t="str">
        <x:v>Ordinary survivor begins without Awakening</x:v>
      </x:c>
      <x:c r="C7" s="487" t="str">
        <x:v>C2-CHAR-001, C2-CHAR-003, C3-A11Y-004</x:v>
      </x:c>
      <x:c r="D7" s="487" t="str">
        <x:v>character-ordinary-survivor; continuation-afterlife; issue-zero-skip</x:v>
      </x:c>
      <x:c r="E7" s="487" t="str">
        <x:v>Creation policy and ordinary-entry character projection</x:v>
      </x:c>
      <x:c r="F7" s="487" t="str">
        <x:v>VS-01 Campaign Entry + VS-04 Character</x:v>
      </x:c>
      <x:c r="G7" s="487" t="str">
        <x:v>Ordinary-entry fixture; no Awakening dependency or penalty</x:v>
      </x:c>
      <x:c r="H7" s="496" t="str">
        <x:v>Contract trace complete</x:v>
      </x:c>
      <x:c r="I7" s="505" t="str">
        <x:v>Pending authorized implementation and release validation</x:v>
      </x:c>
    </x:row>
    <x:row r="8" ht="84" customHeight="1">
      <x:c r="A8" s="486" t="str">
        <x:v>SCN-04</x:v>
      </x:c>
      <x:c r="B8" s="486" t="str">
        <x:v>Absurd but causally possible action</x:v>
      </x:c>
      <x:c r="C8" s="486" t="str">
        <x:v>RM-C1-001, RM-C1-002, CMD-001, CMD-003, CMD-004, C2-HOLD-001</x:v>
      </x:c>
      <x:c r="D8" s="486" t="str">
        <x:v>interpreted-proposal; proposal-forecast; commit-action-command; committed-receipt</x:v>
      </x:c>
      <x:c r="E8" s="486" t="str">
        <x:v>Intent interpreter, causal validator, forecast service and holdings projection</x:v>
      </x:c>
      <x:c r="F8" s="486" t="str">
        <x:v>VS-03 Intent → Commit → Outcome</x:v>
      </x:c>
      <x:c r="G8" s="486" t="str">
        <x:v>Goal fidelity, causal legality and receipt trace E2E</x:v>
      </x:c>
      <x:c r="H8" s="496" t="str">
        <x:v>Contract trace complete</x:v>
      </x:c>
      <x:c r="I8" s="505" t="str">
        <x:v>Pending authorized implementation and release validation</x:v>
      </x:c>
    </x:row>
    <x:row r="9" ht="84" customHeight="1">
      <x:c r="A9" s="487" t="str">
        <x:v>SCN-05</x:v>
      </x:c>
      <x:c r="B9" s="487" t="str">
        <x:v>Impossible action revised by method</x:v>
      </x:c>
      <x:c r="C9" s="487" t="str">
        <x:v>COMMON-003, COMMON-004, RM-C1-001, CMD-002, CMD-004</x:v>
      </x:c>
      <x:c r="D9" s="487" t="str">
        <x:v>rejected-impossible-receipt; replan-state-changed-receipt; stale-conflict-receipt</x:v>
      </x:c>
      <x:c r="E9" s="487" t="str">
        <x:v>Actor-safe rejection and versioned proposal rebase</x:v>
      </x:c>
      <x:c r="F9" s="487" t="str">
        <x:v>VS-03 Intent → Revision → Commit</x:v>
      </x:c>
      <x:c r="G9" s="487" t="str">
        <x:v>No hidden diagnostic; goal preserved; no rejected-action spend</x:v>
      </x:c>
      <x:c r="H9" s="496" t="str">
        <x:v>Contract trace complete</x:v>
      </x:c>
      <x:c r="I9" s="505" t="str">
        <x:v>Pending authorized implementation and release validation</x:v>
      </x:c>
    </x:row>
    <x:row r="10" ht="84" customHeight="1">
      <x:c r="A10" s="486" t="str">
        <x:v>SCN-06</x:v>
      </x:c>
      <x:c r="B10" s="486" t="str">
        <x:v>Character overloaded with injuries, survival, equipment and law</x:v>
      </x:c>
      <x:c r="C10" s="486" t="str">
        <x:v>RM-003, EVF-003, C2-CHAR-001, C2-CHAR-003, C2-HOLD-001, C2-WORLD-005</x:v>
      </x:c>
      <x:c r="D10" s="486" t="str">
        <x:v>stage-frame-current; character and continuation fixtures; front-legal-record</x:v>
      </x:c>
      <x:c r="E10" s="486" t="str">
        <x:v>Stage projection composer and priority/decision-window reducer</x:v>
      </x:c>
      <x:c r="F10" s="486" t="str">
        <x:v>VS-02 Living Stage + VS-04/06/07 records</x:v>
      </x:c>
      <x:c r="G10" s="486" t="str">
        <x:v>High-density usability; legal, harm and equipment state remain distinct</x:v>
      </x:c>
      <x:c r="H10" s="496" t="str">
        <x:v>Contract trace complete</x:v>
      </x:c>
      <x:c r="I10" s="505" t="str">
        <x:v>Pending authorized implementation and release validation</x:v>
      </x:c>
    </x:row>
    <x:row r="11" ht="84" customHeight="1">
      <x:c r="A11" s="487" t="str">
        <x:v>SCN-07</x:v>
      </x:c>
      <x:c r="B11" s="487" t="str">
        <x:v>Companion refuses an order</x:v>
      </x:c>
      <x:c r="C11" s="487" t="str">
        <x:v>RM-004, COMMON-004, C2-COMP-001, C2-COMP-002, C2-COMP-004, C2-COMP-005</x:v>
      </x:c>
      <x:c r="D11" s="487" t="str">
        <x:v>autonomous-actor-refusal; actor-private-motive and obedience-score rejected</x:v>
      </x:c>
      <x:c r="E11" s="487" t="str">
        <x:v>Autonomous actor decision service under actor knowledge and authority</x:v>
      </x:c>
      <x:c r="F11" s="487" t="str">
        <x:v>VS-05 Company + Relationships</x:v>
      </x:c>
      <x:c r="G11" s="487" t="str">
        <x:v>Refusal/counteroffer E2E; no motive or obedience leakage</x:v>
      </x:c>
      <x:c r="H11" s="496" t="str">
        <x:v>Contract trace complete</x:v>
      </x:c>
      <x:c r="I11" s="505" t="str">
        <x:v>Pending authorized implementation and release validation</x:v>
      </x:c>
    </x:row>
    <x:row r="12" ht="84" customHeight="1">
      <x:c r="A12" s="486" t="str">
        <x:v>SCN-08</x:v>
      </x:c>
      <x:c r="B12" s="486" t="str">
        <x:v>Sapient Relic lies, negotiates or rejects access</x:v>
      </x:c>
      <x:c r="C12" s="486" t="str">
        <x:v>COMMON-002, RM-004, C2-COMP-002, C2-COMP-003, C2-COMP-004, C2-COMP-005</x:v>
      </x:c>
      <x:c r="D12" s="486" t="str">
        <x:v>relic record; relic exact-Bond rejected; refusal event</x:v>
      </x:c>
      <x:c r="E12" s="486" t="str">
        <x:v>Relic agency, custody, claim and knowledge projections</x:v>
      </x:c>
      <x:c r="F12" s="486" t="str">
        <x:v>VS-05 Company + Relics</x:v>
      </x:c>
      <x:c r="G12" s="486" t="str">
        <x:v>Personhood/access test; no lie classification or exact hidden Bond</x:v>
      </x:c>
      <x:c r="H12" s="496" t="str">
        <x:v>Contract trace complete</x:v>
      </x:c>
      <x:c r="I12" s="505" t="str">
        <x:v>Pending authorized implementation and release validation</x:v>
      </x:c>
    </x:row>
    <x:row r="13" ht="84" customHeight="1">
      <x:c r="A13" s="487" t="str">
        <x:v>SCN-09</x:v>
      </x:c>
      <x:c r="B13" s="487" t="str">
        <x:v>Player becomes lost while engine retains exact location</x:v>
      </x:c>
      <x:c r="C13" s="487" t="str">
        <x:v>COMMON-002, C2-WORLD-001, C2-WORLD-002, C2-WORLD-006, C2-WORLD-007</x:v>
      </x:c>
      <x:c r="D13" s="487" t="str">
        <x:v>journey-lost; canonical-coordinates-while-lost rejected</x:v>
      </x:c>
      <x:c r="E13" s="487" t="str">
        <x:v>Knowledge-map reducer and exact-location omission boundary</x:v>
      </x:c>
      <x:c r="F13" s="487" t="str">
        <x:v>VS-07 World + Journey</x:v>
      </x:c>
      <x:c r="G13" s="487" t="str">
        <x:v>Hidden-coordinate canary; last-known/evidence navigation</x:v>
      </x:c>
      <x:c r="H13" s="496" t="str">
        <x:v>Contract trace complete</x:v>
      </x:c>
      <x:c r="I13" s="505" t="str">
        <x:v>Pending authorized implementation and release validation</x:v>
      </x:c>
    </x:row>
    <x:row r="14" ht="84" customHeight="1">
      <x:c r="A14" s="486" t="str">
        <x:v>SCN-10</x:v>
      </x:c>
      <x:c r="B14" s="486" t="str">
        <x:v>Investigation without hidden-canon leakage</x:v>
      </x:c>
      <x:c r="C14" s="486" t="str">
        <x:v>COMMON-002, C2-WORLD-003, C2-WORLD-004, C2-WORLD-006</x:v>
      </x:c>
      <x:c r="D14" s="486" t="str">
        <x:v>case-record; site-hidden-feature-count rejected</x:v>
      </x:c>
      <x:c r="E14" s="486" t="str">
        <x:v>Evidence/claim projection and knowledge-safe analysis service</x:v>
      </x:c>
      <x:c r="F14" s="486" t="str">
        <x:v>VS-07 Sites + Case Graph</x:v>
      </x:c>
      <x:c r="G14" s="486" t="str">
        <x:v>Mystery leakage canary; evidence and inference remain distinct</x:v>
      </x:c>
      <x:c r="H14" s="496" t="str">
        <x:v>Contract trace complete</x:v>
      </x:c>
      <x:c r="I14" s="505" t="str">
        <x:v>Pending authorized implementation and release validation</x:v>
      </x:c>
    </x:row>
    <x:row r="15" ht="84" customHeight="1">
      <x:c r="A15" s="487" t="str">
        <x:v>SCN-11</x:v>
      </x:c>
      <x:c r="B15" s="487" t="str">
        <x:v>Player destroys site or kills faction leader</x:v>
      </x:c>
      <x:c r="C15" s="487" t="str">
        <x:v>COMMON-004, RM-C1-003, C2-WORLD-003, C2-WORLD-005, C2-WORLD-007, C2-CHRON-001, C2-CHRON-002</x:v>
      </x:c>
      <x:c r="D15" s="487" t="str">
        <x:v>site breach; front/legal; chronicle consequence and routed event</x:v>
      </x:c>
      <x:c r="E15" s="487" t="str">
        <x:v>Persistent topology, succession, world reducer and consequence router</x:v>
      </x:c>
      <x:c r="F15" s="487" t="str">
        <x:v>VS-03 Outcome + VS-07 World + Chronicle</x:v>
      </x:c>
      <x:c r="G15" s="487" t="str">
        <x:v>Destructive persistence; no protected NPC or silent reset</x:v>
      </x:c>
      <x:c r="H15" s="496" t="str">
        <x:v>Contract trace complete</x:v>
      </x:c>
      <x:c r="I15" s="505" t="str">
        <x:v>Pending authorized implementation and release validation</x:v>
      </x:c>
    </x:row>
    <x:row r="16" ht="84" customHeight="1">
      <x:c r="A16" s="486" t="str">
        <x:v>SCN-12</x:v>
      </x:c>
      <x:c r="B16" s="486" t="str">
        <x:v>Protagonist dies and play continues</x:v>
      </x:c>
      <x:c r="C16" s="486" t="str">
        <x:v>C2-CHAR-001, C2-CHAR-003, C2-COMP-003, C2-CHRON-001</x:v>
      </x:c>
      <x:c r="D16" s="486" t="str">
        <x:v>continuation-afterlife; zero-vitality-declared-dead rejected</x:v>
      </x:c>
      <x:c r="E16" s="486" t="str">
        <x:v>Defeat evaluator, continuation state machine and consent boundary</x:v>
      </x:c>
      <x:c r="F16" s="486" t="str">
        <x:v>VS-04 Character + Continuation</x:v>
      </x:c>
      <x:c r="G16" s="486" t="str">
        <x:v>Dying/death/afterlife/successor route matrix</x:v>
      </x:c>
      <x:c r="H16" s="496" t="str">
        <x:v>Contract trace complete</x:v>
      </x:c>
      <x:c r="I16" s="505" t="str">
        <x:v>Pending authorized implementation and release validation</x:v>
      </x:c>
    </x:row>
    <x:row r="17" ht="84" customHeight="1">
      <x:c r="A17" s="487" t="str">
        <x:v>SCN-13</x:v>
      </x:c>
      <x:c r="B17" s="487" t="str">
        <x:v>Player leaves BREAKWATER while Fronts continue</x:v>
      </x:c>
      <x:c r="C17" s="487" t="str">
        <x:v>C2-HOLD-002, C2-HOLD-003, C2-WORLD-002, C2-WORLD-005, C2-WORLD-007, C3-ASY-003</x:v>
      </x:c>
      <x:c r="D17" s="487" t="str">
        <x:v>journey and project interval events; front secret clock rejected; attention digest</x:v>
      </x:c>
      <x:c r="E17" s="487" t="str">
        <x:v>Ledger Time scheduler, Front projection and delivered-fact attention aggregator</x:v>
      </x:c>
      <x:c r="F17" s="487" t="str">
        <x:v>VS-07 Travel/Fronts + VS-08 Attention</x:v>
      </x:c>
      <x:c r="G17" s="487" t="str">
        <x:v>Offscreen simulation; no secret clock; accessible consequence digest</x:v>
      </x:c>
      <x:c r="H17" s="496" t="str">
        <x:v>Contract trace complete</x:v>
      </x:c>
      <x:c r="I17" s="505" t="str">
        <x:v>Pending authorized implementation and release validation</x:v>
      </x:c>
    </x:row>
    <x:row r="18" ht="84" customHeight="1">
      <x:c r="A18" s="486" t="str">
        <x:v>SCN-14</x:v>
      </x:c>
      <x:c r="B18" s="486" t="str">
        <x:v>Comic production runs for extended period</x:v>
      </x:c>
      <x:c r="C18" s="486" t="str">
        <x:v>C3-MED-001, C3-MED-002, C3-MED-003, C3-MED-004, C3-MED-005, C3-MED-006, C3-MED-007, C3-MED-008, C3-CMD-003, C3-CMD-004, C3-CMD-005, C3-CMD-006, C3-EVT-003, C3-EVT-004</x:v>
      </x:c>
      <x:c r="D18" s="486" t="str">
        <x:v>comic capture, Source Lock, job, reader, provenance, publication fixtures plus 12 negative media gates</x:v>
      </x:c>
      <x:c r="E18" s="486" t="str">
        <x:v>Durable media queue, checkpoint store, provenance store and publication service</x:v>
      </x:c>
      <x:c r="F18" s="486" t="str">
        <x:v>VS-09 Comic Capture/Queue + VS-10 Reader/Editions</x:v>
      </x:c>
      <x:c r="G18" s="486" t="str">
        <x:v>Long-running recovery; honest stages; play never blocks</x:v>
      </x:c>
      <x:c r="H18" s="496" t="str">
        <x:v>Contract trace complete</x:v>
      </x:c>
      <x:c r="I18" s="505" t="str">
        <x:v>Pending authorized implementation and release validation</x:v>
      </x:c>
    </x:row>
    <x:row r="19" ht="84" customHeight="1">
      <x:c r="A19" s="487" t="str">
        <x:v>SCN-15</x:v>
      </x:c>
      <x:c r="B19" s="487" t="str">
        <x:v>Issue #0 skipped entirely</x:v>
      </x:c>
      <x:c r="C19" s="487" t="str">
        <x:v>C3-A11Y-002, C3-A11Y-004, C3-MED-005, C3-CMD-002</x:v>
      </x:c>
      <x:c r="D19" s="487" t="str">
        <x:v>issue-zero-skip; issue-zero-blocks-play rejected</x:v>
      </x:c>
      <x:c r="E19" s="487" t="str">
        <x:v>Onboarding projection, content controls and accessible fallback summary</x:v>
      </x:c>
      <x:c r="F19" s="487" t="str">
        <x:v>VS-01 Campaign Entry + VS-10 Reader</x:v>
      </x:c>
      <x:c r="G19" s="487" t="str">
        <x:v>Skip/defer/read/summarize parity; no gameplay penalty</x:v>
      </x:c>
      <x:c r="H19" s="496" t="str">
        <x:v>Contract trace complete</x:v>
      </x:c>
      <x:c r="I19" s="505" t="str">
        <x:v>Pending authorized implementation and release validation</x:v>
      </x:c>
    </x:row>
    <x:row r="20" ht="84" customHeight="1">
      <x:c r="A20" s="486" t="str">
        <x:v>SCN-16</x:v>
      </x:c>
      <x:c r="B20" s="486" t="str">
        <x:v>Screen-reader and reduced-input core loop</x:v>
      </x:c>
      <x:c r="C20" s="486" t="str">
        <x:v>COMMON-005, RM-005, EVF-010, C3-A11Y-001, C3-A11Y-003, C3-MED-008, C3-CMD-002</x:v>
      </x:c>
      <x:c r="D20" s="486" t="str">
        <x:v>accessibility profile; accessible publication; drag-only and localization-meaning-change rejected</x:v>
      </x:c>
      <x:c r="E20" s="486" t="str">
        <x:v>Semantic projection companions, alternate-input adapters and localization layers</x:v>
      </x:c>
      <x:c r="F20" s="486" t="str">
        <x:v>VS-11 Accessibility/Localization across VS-01–10</x:v>
      </x:c>
      <x:c r="G20" s="486" t="str">
        <x:v>Keyboard, screen reader, switch, voice and reduced-motion matrix</x:v>
      </x:c>
      <x:c r="H20" s="496" t="str">
        <x:v>Contract trace complete</x:v>
      </x:c>
      <x:c r="I20" s="505" t="str">
        <x:v>Pending authorized implementation and release validation</x:v>
      </x:c>
    </x:row>
    <x:row r="21" ht="84" customHeight="1">
      <x:c r="A21" s="488" t="str">
        <x:v>SCN-17</x:v>
      </x:c>
      <x:c r="B21" s="488" t="str">
        <x:v>Mobile presentation under constrained space</x:v>
      </x:c>
      <x:c r="C21" s="488" t="str">
        <x:v>COMMON-003, COMMON-005, RM-002, RM-003, C3-ASY-001, C3-ASY-002, C3-A11Y-001</x:v>
      </x:c>
      <x:c r="D21" s="488" t="str">
        <x:v>degraded connectivity; save recovery; stage freshness and semantic fixtures</x:v>
      </x:c>
      <x:c r="E21" s="488" t="str">
        <x:v>Responsive composition, durable draft/save and material-staleness boundary</x:v>
      </x:c>
      <x:c r="F21" s="488" t="str">
        <x:v>Compact capability variant after desktop reference</x:v>
      </x:c>
      <x:c r="G21" s="488" t="str">
        <x:v>Real-device reflow; agency/state parity; desktop remains primary</x:v>
      </x:c>
      <x:c r="H21" s="497" t="str">
        <x:v>Contract trace complete</x:v>
      </x:c>
      <x:c r="I21" s="506" t="str">
        <x:v>Pending authorized implementation and release validation</x:v>
      </x:c>
    </x:row>
  </x:sheetData>
  <x:mergeCells>
    <x:mergeCell ref="A1:I1"/>
    <x:mergeCell ref="A2:I2"/>
  </x:mergeCells>
  <x:pageMargins left="0.7" right="0.7" top="0.75" bottom="0.75" header="0.3" footer="0.3"/>
  <x:tableParts count="1">
    <x:tablePart xmlns:r="http://schemas.openxmlformats.org/officeDocument/2006/relationships" r:id="R1c9ce2ea65fa46e5"/>
  </x:tableParts>
</x:worksheet>
</file>

<file path=xl/worksheets/sheet23.xml><?xml version="1.0" encoding="utf-8"?>
<x:worksheet xmlns:x="http://schemas.openxmlformats.org/spreadsheetml/2006/main">
  <x:sheetViews>
    <x:sheetView showGridLines="0" workbookViewId="0"/>
  </x:sheetViews>
  <x:sheetFormatPr defaultRowHeight="15"/>
  <x:cols>
    <x:col min="1" max="1" width="13" hidden="0" customWidth="1"/>
    <x:col min="2" max="2" width="29" hidden="0" customWidth="1"/>
    <x:col min="3" max="3" width="46" hidden="0" customWidth="1"/>
    <x:col min="4" max="4" width="42" hidden="0" customWidth="1"/>
    <x:col min="5" max="5" width="30" hidden="0" customWidth="1"/>
    <x:col min="6" max="6" width="30" hidden="0" customWidth="1"/>
    <x:col min="7" max="7" width="45" hidden="0" customWidth="1"/>
    <x:col min="8" max="8" width="48" hidden="0" customWidth="1"/>
    <x:col min="9" max="9" width="18" hidden="0" customWidth="1"/>
    <x:col min="10" max="10" width="24" hidden="0" customWidth="1"/>
  </x:cols>
  <x:sheetData>
    <x:row r="1">
      <x:c r="A1" s="424" t="str">
        <x:v>CHECKPOINT C4 • 40-COMPONENT CONTRACT + TEST CLOSURE</x:v>
      </x:c>
      <x:c r="B1" s="424" t="str">
        <x:v>CHECKPOINT C4 • 40-COMPONENT CONTRACT + TEST CLOSURE</x:v>
      </x:c>
      <x:c r="C1" s="424" t="str">
        <x:v>CHECKPOINT C4 • 40-COMPONENT CONTRACT + TEST CLOSURE</x:v>
      </x:c>
      <x:c r="D1" s="424" t="str">
        <x:v>CHECKPOINT C4 • 40-COMPONENT CONTRACT + TEST CLOSURE</x:v>
      </x:c>
      <x:c r="E1" s="424" t="str">
        <x:v>CHECKPOINT C4 • 40-COMPONENT CONTRACT + TEST CLOSURE</x:v>
      </x:c>
      <x:c r="F1" s="424" t="str">
        <x:v>CHECKPOINT C4 • 40-COMPONENT CONTRACT + TEST CLOSURE</x:v>
      </x:c>
      <x:c r="G1" s="424" t="str">
        <x:v>CHECKPOINT C4 • 40-COMPONENT CONTRACT + TEST CLOSURE</x:v>
      </x:c>
      <x:c r="H1" s="424" t="str">
        <x:v>CHECKPOINT C4 • 40-COMPONENT CONTRACT + TEST CLOSURE</x:v>
      </x:c>
      <x:c r="I1" s="424" t="str">
        <x:v>CHECKPOINT C4 • 40-COMPONENT CONTRACT + TEST CLOSURE</x:v>
      </x:c>
      <x:c r="J1" s="424" t="str">
        <x:v>CHECKPOINT C4 • 40-COMPONENT CONTRACT + TEST CLOSURE</x:v>
      </x:c>
    </x:row>
    <x:row r="2">
      <x:c r="A2" s="428" t="str">
        <x:v>Components own presentation and reversible local UI state; contract authorities own canon, knowledge, permission, receipts, media approval and persistence</x:v>
      </x:c>
      <x:c r="B2" s="428" t="str">
        <x:v>Components own presentation and reversible local UI state; contract authorities own canon, knowledge, permission, receipts, media approval and persistence</x:v>
      </x:c>
      <x:c r="C2" s="428" t="str">
        <x:v>Components own presentation and reversible local UI state; contract authorities own canon, knowledge, permission, receipts, media approval and persistence</x:v>
      </x:c>
      <x:c r="D2" s="428" t="str">
        <x:v>Components own presentation and reversible local UI state; contract authorities own canon, knowledge, permission, receipts, media approval and persistence</x:v>
      </x:c>
      <x:c r="E2" s="428" t="str">
        <x:v>Components own presentation and reversible local UI state; contract authorities own canon, knowledge, permission, receipts, media approval and persistence</x:v>
      </x:c>
      <x:c r="F2" s="428" t="str">
        <x:v>Components own presentation and reversible local UI state; contract authorities own canon, knowledge, permission, receipts, media approval and persistence</x:v>
      </x:c>
      <x:c r="G2" s="428" t="str">
        <x:v>Components own presentation and reversible local UI state; contract authorities own canon, knowledge, permission, receipts, media approval and persistence</x:v>
      </x:c>
      <x:c r="H2" s="428" t="str">
        <x:v>Components own presentation and reversible local UI state; contract authorities own canon, knowledge, permission, receipts, media approval and persistence</x:v>
      </x:c>
      <x:c r="I2" s="428" t="str">
        <x:v>Components own presentation and reversible local UI state; contract authorities own canon, knowledge, permission, receipts, media approval and persistence</x:v>
      </x:c>
      <x:c r="J2" s="428" t="str">
        <x:v>Components own presentation and reversible local UI state; contract authorities own canon, knowledge, permission, receipts, media approval and persistence</x:v>
      </x:c>
    </x:row>
    <x:row r="4">
      <x:c r="A4" s="483" t="str">
        <x:v>Component</x:v>
      </x:c>
      <x:c r="B4" s="484" t="str">
        <x:v>Name</x:v>
      </x:c>
      <x:c r="C4" s="484" t="str">
        <x:v>Approved Contract IDs</x:v>
      </x:c>
      <x:c r="D4" s="484" t="str">
        <x:v>Primary Payload / Boundary</x:v>
      </x:c>
      <x:c r="E4" s="484" t="str">
        <x:v>Authority Owner</x:v>
      </x:c>
      <x:c r="F4" s="484" t="str">
        <x:v>Frontend Owner</x:v>
      </x:c>
      <x:c r="G4" s="484" t="str">
        <x:v>Fixtures / Tests</x:v>
      </x:c>
      <x:c r="H4" s="484" t="str">
        <x:v>Accessibility Semantics</x:v>
      </x:c>
      <x:c r="I4" s="484" t="str">
        <x:v>Implementation Slice</x:v>
      </x:c>
      <x:c r="J4" s="485" t="str">
        <x:v>Trace Status</x:v>
      </x:c>
    </x:row>
    <x:row r="5" ht="78" customHeight="1">
      <x:c r="A5" s="457" t="str">
        <x:v>CMP-01</x:v>
      </x:c>
      <x:c r="B5" s="457" t="str">
        <x:v>World Strip</x:v>
      </x:c>
      <x:c r="C5" s="457" t="str">
        <x:v>COMMON-001, RM-002, C3-ASY-001</x:v>
      </x:c>
      <x:c r="D5" s="457" t="str">
        <x:v>WorldStripStatus + ConnectivityState</x:v>
      </x:c>
      <x:c r="E5" s="457" t="str">
        <x:v>Knowledge/connectivity projection</x:v>
      </x:c>
      <x:c r="F5" s="457" t="str">
        <x:v>Shell status adapter</x:v>
      </x:c>
      <x:c r="G5" s="457" t="str">
        <x:v>world-strip-current; degraded connectivity</x:v>
      </x:c>
      <x:c r="H5" s="457" t="str">
        <x:v>Status, Ledger Time and save state use text plus structure</x:v>
      </x:c>
      <x:c r="I5" s="457" t="str">
        <x:v>VS-01</x:v>
      </x:c>
      <x:c r="J5" s="495" t="str">
        <x:v>Contract trace complete</x:v>
      </x:c>
    </x:row>
    <x:row r="6" ht="78" customHeight="1">
      <x:c r="A6" s="486" t="str">
        <x:v>CMP-02</x:v>
      </x:c>
      <x:c r="B6" s="486" t="str">
        <x:v>Campaign Rail</x:v>
      </x:c>
      <x:c r="C6" s="486" t="str">
        <x:v>RM-003, C3-A11Y-004, C3-ASY-002</x:v>
      </x:c>
      <x:c r="D6" s="486" t="str">
        <x:v>StageFrame + IssueZeroAvailability + SaveRecoveryState</x:v>
      </x:c>
      <x:c r="E6" s="486" t="str">
        <x:v>Campaign routing/recovery</x:v>
      </x:c>
      <x:c r="F6" s="486" t="str">
        <x:v>App shell navigation</x:v>
      </x:c>
      <x:c r="G6" s="486" t="str">
        <x:v>stage frame; issue-zero skip; save recovery</x:v>
      </x:c>
      <x:c r="H6" s="486" t="str">
        <x:v>Stable landmarks, current destination and focus return</x:v>
      </x:c>
      <x:c r="I6" s="486" t="str">
        <x:v>VS-01</x:v>
      </x:c>
      <x:c r="J6" s="496" t="str">
        <x:v>Contract trace complete</x:v>
      </x:c>
    </x:row>
    <x:row r="7" ht="78" customHeight="1">
      <x:c r="A7" s="487" t="str">
        <x:v>CMP-03</x:v>
      </x:c>
      <x:c r="B7" s="487" t="str">
        <x:v>Active Surface Header</x:v>
      </x:c>
      <x:c r="C7" s="487" t="str">
        <x:v>COMMON-002, COMMON-003, RM-003</x:v>
      </x:c>
      <x:c r="D7" s="487" t="str">
        <x:v>StageFrame + KnowledgeFact + Freshness</x:v>
      </x:c>
      <x:c r="E7" s="487" t="str">
        <x:v>Knowledge projection</x:v>
      </x:c>
      <x:c r="F7" s="487" t="str">
        <x:v>Surface heading adapter</x:v>
      </x:c>
      <x:c r="G7" s="487" t="str">
        <x:v>stage current/hidden-truth gate</x:v>
      </x:c>
      <x:c r="H7" s="487" t="str">
        <x:v>Heading, viewpoint, freshness and knowledge class are programmatic</x:v>
      </x:c>
      <x:c r="I7" s="487" t="str">
        <x:v>VS-02</x:v>
      </x:c>
      <x:c r="J7" s="496" t="str">
        <x:v>Contract trace complete</x:v>
      </x:c>
    </x:row>
    <x:row r="8" ht="78" customHeight="1">
      <x:c r="A8" s="486" t="str">
        <x:v>CMP-04</x:v>
      </x:c>
      <x:c r="B8" s="486" t="str">
        <x:v>Context Lens</x:v>
      </x:c>
      <x:c r="C8" s="486" t="str">
        <x:v>RM-004, C2-COMP-002, C2-WORLD-004</x:v>
      </x:c>
      <x:c r="D8" s="486" t="str">
        <x:v>EntityContextLens + actor/case projections</x:v>
      </x:c>
      <x:c r="E8" s="486" t="str">
        <x:v>Entity projection</x:v>
      </x:c>
      <x:c r="F8" s="486" t="str">
        <x:v>Context side panel</x:v>
      </x:c>
      <x:c r="G8" s="486" t="str">
        <x:v>context-lens-disputed; actor refusal; case record</x:v>
      </x:c>
      <x:c r="H8" s="486" t="str">
        <x:v>Region label, focus management and structured actions</x:v>
      </x:c>
      <x:c r="I8" s="486" t="str">
        <x:v>VS-02/05/07</x:v>
      </x:c>
      <x:c r="J8" s="496" t="str">
        <x:v>Contract trace complete</x:v>
      </x:c>
    </x:row>
    <x:row r="9" ht="78" customHeight="1">
      <x:c r="A9" s="487" t="str">
        <x:v>CMP-05</x:v>
      </x:c>
      <x:c r="B9" s="487" t="str">
        <x:v>Intent Dock</x:v>
      </x:c>
      <x:c r="C9" s="487" t="str">
        <x:v>RM-005, CMD-001, CMD-002, C3-A11Y-001</x:v>
      </x:c>
      <x:c r="D9" s="487" t="str">
        <x:v>IntentCapability + immutable intent commands</x:v>
      </x:c>
      <x:c r="E9" s="487" t="str">
        <x:v>Intent interpreter</x:v>
      </x:c>
      <x:c r="F9" s="487" t="str">
        <x:v>Intent input controller</x:v>
      </x:c>
      <x:c r="G9" s="487" t="str">
        <x:v>intent capability; interpret/revise commands</x:v>
      </x:c>
      <x:c r="H9" s="487" t="str">
        <x:v>Keyboard, voice, switch and non-drag submission</x:v>
      </x:c>
      <x:c r="I9" s="487" t="str">
        <x:v>VS-03</x:v>
      </x:c>
      <x:c r="J9" s="496" t="str">
        <x:v>Contract trace complete</x:v>
      </x:c>
    </x:row>
    <x:row r="10" ht="78" customHeight="1">
      <x:c r="A10" s="486" t="str">
        <x:v>CMP-06</x:v>
      </x:c>
      <x:c r="B10" s="486" t="str">
        <x:v>Chronicle Ribbon</x:v>
      </x:c>
      <x:c r="C10" s="486" t="str">
        <x:v>EVF-001, C2-CHRON-001, C2-CHRON-002</x:v>
      </x:c>
      <x:c r="D10" s="486" t="str">
        <x:v>Committed events + ChronicleConsequenceBundle</x:v>
      </x:c>
      <x:c r="E10" s="486" t="str">
        <x:v>Reducer/event projection</x:v>
      </x:c>
      <x:c r="F10" s="486" t="str">
        <x:v>Chronicle summary strip</x:v>
      </x:c>
      <x:c r="G10" s="486" t="str">
        <x:v>canonical commit + chronicle routed event</x:v>
      </x:c>
      <x:c r="H10" s="486" t="str">
        <x:v>Ordered list with timestamps and provenance</x:v>
      </x:c>
      <x:c r="I10" s="486" t="str">
        <x:v>VS-03</x:v>
      </x:c>
      <x:c r="J10" s="496" t="str">
        <x:v>Contract trace complete</x:v>
      </x:c>
    </x:row>
    <x:row r="11" ht="78" customHeight="1">
      <x:c r="A11" s="487" t="str">
        <x:v>CMP-07</x:v>
      </x:c>
      <x:c r="B11" s="487" t="str">
        <x:v>Attention Notice</x:v>
      </x:c>
      <x:c r="C11" s="487" t="str">
        <x:v>C3-ASY-003, C3-API-001, COMMON-005</x:v>
      </x:c>
      <x:c r="D11" s="487" t="str">
        <x:v>AttentionDigest</x:v>
      </x:c>
      <x:c r="E11" s="487" t="str">
        <x:v>Attention projection</x:v>
      </x:c>
      <x:c r="F11" s="487" t="str">
        <x:v>Notice aggregator</x:v>
      </x:c>
      <x:c r="G11" s="487" t="str">
        <x:v>attention digest; undelivered-fact rejected</x:v>
      </x:c>
      <x:c r="H11" s="487" t="str">
        <x:v>Urgency and action need use label, role and announcement priority</x:v>
      </x:c>
      <x:c r="I11" s="487" t="str">
        <x:v>VS-08</x:v>
      </x:c>
      <x:c r="J11" s="496" t="str">
        <x:v>Contract trace complete</x:v>
      </x:c>
    </x:row>
    <x:row r="12" ht="78" customHeight="1">
      <x:c r="A12" s="486" t="str">
        <x:v>CMP-08</x:v>
      </x:c>
      <x:c r="B12" s="486" t="str">
        <x:v>Draft Preservation Bar</x:v>
      </x:c>
      <x:c r="C12" s="486" t="str">
        <x:v>COMMON-003, CMD-002, C3-ASY-002</x:v>
      </x:c>
      <x:c r="D12" s="486" t="str">
        <x:v>Freshness + SaveRecoveryState</x:v>
      </x:c>
      <x:c r="E12" s="486" t="str">
        <x:v>Draft/recovery coordinator</x:v>
      </x:c>
      <x:c r="F12" s="486" t="str">
        <x:v>Durable draft store</x:v>
      </x:c>
      <x:c r="G12" s="486" t="str">
        <x:v>stale conflict; save recovery</x:v>
      </x:c>
      <x:c r="H12" s="486" t="str">
        <x:v>Persistent status and explicit compare/recover actions</x:v>
      </x:c>
      <x:c r="I12" s="486" t="str">
        <x:v>VS-01/03</x:v>
      </x:c>
      <x:c r="J12" s="496" t="str">
        <x:v>Contract trace complete</x:v>
      </x:c>
    </x:row>
    <x:row r="13" ht="78" customHeight="1">
      <x:c r="A13" s="487" t="str">
        <x:v>CMP-09</x:v>
      </x:c>
      <x:c r="B13" s="487" t="str">
        <x:v>Scene Frame</x:v>
      </x:c>
      <x:c r="C13" s="487" t="str">
        <x:v>RM-003, C2-WORLD-003, COMMON-002</x:v>
      </x:c>
      <x:c r="D13" s="487" t="str">
        <x:v>StageFrame + SiteRecord</x:v>
      </x:c>
      <x:c r="E13" s="487" t="str">
        <x:v>Stage/world projection</x:v>
      </x:c>
      <x:c r="F13" s="487" t="str">
        <x:v>Adaptive Stage scene renderer</x:v>
      </x:c>
      <x:c r="G13" s="487" t="str">
        <x:v>stage frame; site record; hidden truth gates</x:v>
      </x:c>
      <x:c r="H13" s="487" t="str">
        <x:v>Scene meaning has structured text and asset fallback</x:v>
      </x:c>
      <x:c r="I13" s="487" t="str">
        <x:v>VS-02</x:v>
      </x:c>
      <x:c r="J13" s="496" t="str">
        <x:v>Contract trace complete</x:v>
      </x:c>
    </x:row>
    <x:row r="14" ht="78" customHeight="1">
      <x:c r="A14" s="486" t="str">
        <x:v>CMP-10</x:v>
      </x:c>
      <x:c r="B14" s="486" t="str">
        <x:v>Exact Speech Block</x:v>
      </x:c>
      <x:c r="C14" s="486" t="str">
        <x:v>RM-004, C2-COMP-002, COMMON-002</x:v>
      </x:c>
      <x:c r="D14" s="486" t="str">
        <x:v>EntityContextLens + actor status</x:v>
      </x:c>
      <x:c r="E14" s="486" t="str">
        <x:v>Actor projection</x:v>
      </x:c>
      <x:c r="F14" s="486" t="str">
        <x:v>Dialogue block</x:v>
      </x:c>
      <x:c r="G14" s="486" t="str">
        <x:v>actor refusal; private motive rejected</x:v>
      </x:c>
      <x:c r="H14" s="486" t="str">
        <x:v>Speaker, exact text, timing and source remain associated</x:v>
      </x:c>
      <x:c r="I14" s="486" t="str">
        <x:v>VS-02/05</x:v>
      </x:c>
      <x:c r="J14" s="496" t="str">
        <x:v>Contract trace complete</x:v>
      </x:c>
    </x:row>
    <x:row r="15" ht="78" customHeight="1">
      <x:c r="A15" s="487" t="str">
        <x:v>CMP-11</x:v>
      </x:c>
      <x:c r="B15" s="487" t="str">
        <x:v>Meaningful Marker</x:v>
      </x:c>
      <x:c r="C15" s="487" t="str">
        <x:v>RM-003, COMMON-002, C2-WORLD-003, C2-WORLD-004</x:v>
      </x:c>
      <x:c r="D15" s="487" t="str">
        <x:v>Projected facts and permissions</x:v>
      </x:c>
      <x:c r="E15" s="487" t="str">
        <x:v>Knowledge projection</x:v>
      </x:c>
      <x:c r="F15" s="487" t="str">
        <x:v>Scene affordance marker</x:v>
      </x:c>
      <x:c r="G15" s="487" t="str">
        <x:v>stage/site/case fixtures</x:v>
      </x:c>
      <x:c r="H15" s="487" t="str">
        <x:v>Focusable label and non-hover equivalent</x:v>
      </x:c>
      <x:c r="I15" s="487" t="str">
        <x:v>VS-02/07</x:v>
      </x:c>
      <x:c r="J15" s="496" t="str">
        <x:v>Contract trace complete</x:v>
      </x:c>
    </x:row>
    <x:row r="16" ht="78" customHeight="1">
      <x:c r="A16" s="486" t="str">
        <x:v>CMP-12</x:v>
      </x:c>
      <x:c r="B16" s="486" t="str">
        <x:v>Contextual Possibility</x:v>
      </x:c>
      <x:c r="C16" s="486" t="str">
        <x:v>RM-004, COMMON-003, C2-WORLD-006</x:v>
      </x:c>
      <x:c r="D16" s="486" t="str">
        <x:v>Entity action availability</x:v>
      </x:c>
      <x:c r="E16" s="486" t="str">
        <x:v>Validator projection</x:v>
      </x:c>
      <x:c r="F16" s="486" t="str">
        <x:v>Possibility list</x:v>
      </x:c>
      <x:c r="G16" s="486" t="str">
        <x:v>context lens; world commands</x:v>
      </x:c>
      <x:c r="H16" s="486" t="str">
        <x:v>Availability and reason are semantic, not color-only</x:v>
      </x:c>
      <x:c r="I16" s="486" t="str">
        <x:v>VS-02/07</x:v>
      </x:c>
      <x:c r="J16" s="496" t="str">
        <x:v>Contract trace complete</x:v>
      </x:c>
    </x:row>
    <x:row r="17" ht="78" customHeight="1">
      <x:c r="A17" s="487" t="str">
        <x:v>CMP-13</x:v>
      </x:c>
      <x:c r="B17" s="487" t="str">
        <x:v>Interpreted Action Packet</x:v>
      </x:c>
      <x:c r="C17" s="487" t="str">
        <x:v>RM-C1-001, CMD-001, CMD-002</x:v>
      </x:c>
      <x:c r="D17" s="487" t="str">
        <x:v>InterpretedProposal</x:v>
      </x:c>
      <x:c r="E17" s="487" t="str">
        <x:v>Intent interpreter/validator</x:v>
      </x:c>
      <x:c r="F17" s="487" t="str">
        <x:v>Proposal review card</x:v>
      </x:c>
      <x:c r="G17" s="487" t="str">
        <x:v>interpreted proposal; interpret/revise commands</x:v>
      </x:c>
      <x:c r="H17" s="487" t="str">
        <x:v>Structured assumptions, ambiguity and changed fields</x:v>
      </x:c>
      <x:c r="I17" s="487" t="str">
        <x:v>VS-03</x:v>
      </x:c>
      <x:c r="J17" s="496" t="str">
        <x:v>Contract trace complete</x:v>
      </x:c>
    </x:row>
    <x:row r="18" ht="78" customHeight="1">
      <x:c r="A18" s="486" t="str">
        <x:v>CMP-14</x:v>
      </x:c>
      <x:c r="B18" s="486" t="str">
        <x:v>Knowable Forecast</x:v>
      </x:c>
      <x:c r="C18" s="486" t="str">
        <x:v>COMMON-002, RM-C1-002, CMD-003</x:v>
      </x:c>
      <x:c r="D18" s="486" t="str">
        <x:v>ProposalForecast</x:v>
      </x:c>
      <x:c r="E18" s="486" t="str">
        <x:v>Forecast service</x:v>
      </x:c>
      <x:c r="F18" s="486" t="str">
        <x:v>Forecast panel</x:v>
      </x:c>
      <x:c r="G18" s="486" t="str">
        <x:v>proposal forecast</x:v>
      </x:c>
      <x:c r="H18" s="486" t="str">
        <x:v>Noncanonical label, banded risk and accessible assumptions</x:v>
      </x:c>
      <x:c r="I18" s="486" t="str">
        <x:v>VS-03</x:v>
      </x:c>
      <x:c r="J18" s="496" t="str">
        <x:v>Contract trace complete</x:v>
      </x:c>
    </x:row>
    <x:row r="19" ht="78" customHeight="1">
      <x:c r="A19" s="487" t="str">
        <x:v>CMP-15</x:v>
      </x:c>
      <x:c r="B19" s="487" t="str">
        <x:v>Adaptive Commit</x:v>
      </x:c>
      <x:c r="C19" s="487" t="str">
        <x:v>COMMON-003, COMMON-004, CMD-004</x:v>
      </x:c>
      <x:c r="D19" s="487" t="str">
        <x:v>CommitAction + permissions</x:v>
      </x:c>
      <x:c r="E19" s="487" t="str">
        <x:v>Validator/reducer</x:v>
      </x:c>
      <x:c r="F19" s="487" t="str">
        <x:v>Commit controller</x:v>
      </x:c>
      <x:c r="G19" s="487" t="str">
        <x:v>commit and all outcome fixtures</x:v>
      </x:c>
      <x:c r="H19" s="487" t="str">
        <x:v>Consequence acknowledgement and disabled reason are explicit</x:v>
      </x:c>
      <x:c r="I19" s="487" t="str">
        <x:v>VS-03</x:v>
      </x:c>
      <x:c r="J19" s="496" t="str">
        <x:v>Contract trace complete</x:v>
      </x:c>
    </x:row>
    <x:row r="20" ht="78" customHeight="1">
      <x:c r="A20" s="486" t="str">
        <x:v>CMP-16</x:v>
      </x:c>
      <x:c r="B20" s="486" t="str">
        <x:v>Resolution Beat</x:v>
      </x:c>
      <x:c r="C20" s="486" t="str">
        <x:v>RM-C1-003, COMMON-005, EVF-001</x:v>
      </x:c>
      <x:c r="D20" s="486" t="str">
        <x:v>ResolutionBeat</x:v>
      </x:c>
      <x:c r="E20" s="486" t="str">
        <x:v>Reducer projection</x:v>
      </x:c>
      <x:c r="F20" s="486" t="str">
        <x:v>Resolution presenter</x:v>
      </x:c>
      <x:c r="G20" s="486" t="str">
        <x:v>resolution mixed + committed events</x:v>
      </x:c>
      <x:c r="H20" s="486" t="str">
        <x:v>Skippable sequence, reduced-motion substitute and final state</x:v>
      </x:c>
      <x:c r="I20" s="486" t="str">
        <x:v>VS-03</x:v>
      </x:c>
      <x:c r="J20" s="496" t="str">
        <x:v>Contract trace complete</x:v>
      </x:c>
    </x:row>
    <x:row r="21" ht="78" customHeight="1">
      <x:c r="A21" s="487" t="str">
        <x:v>CMP-17</x:v>
      </x:c>
      <x:c r="B21" s="487" t="str">
        <x:v>Outcome Receipt</x:v>
      </x:c>
      <x:c r="C21" s="487" t="str">
        <x:v>COMMON-004, CMD-004, CMD-013, EVF-004</x:v>
      </x:c>
      <x:c r="D21" s="487" t="str">
        <x:v>PublicOutcome + command receipt</x:v>
      </x:c>
      <x:c r="E21" s="487" t="str">
        <x:v>Command gateway/reducer</x:v>
      </x:c>
      <x:c r="F21" s="487" t="str">
        <x:v>Receipt panel</x:v>
      </x:c>
      <x:c r="G21" s="487" t="str">
        <x:v>success/branch/unknown fixtures</x:v>
      </x:c>
      <x:c r="H21" s="487" t="str">
        <x:v>Receipt status, spend truth and recovery are announced</x:v>
      </x:c>
      <x:c r="I21" s="487" t="str">
        <x:v>VS-03</x:v>
      </x:c>
      <x:c r="J21" s="496" t="str">
        <x:v>Contract trace complete</x:v>
      </x:c>
    </x:row>
    <x:row r="22" ht="78" customHeight="1">
      <x:c r="A22" s="486" t="str">
        <x:v>CMP-18</x:v>
      </x:c>
      <x:c r="B22" s="486" t="str">
        <x:v>Decision Window</x:v>
      </x:c>
      <x:c r="C22" s="486" t="str">
        <x:v>EVF-003, RM-003, COMMON-005</x:v>
      </x:c>
      <x:c r="D22" s="486" t="str">
        <x:v>Decision window event + StageFrame</x:v>
      </x:c>
      <x:c r="E22" s="486" t="str">
        <x:v>Timing validator</x:v>
      </x:c>
      <x:c r="F22" s="486" t="str">
        <x:v>Urgent choice band</x:v>
      </x:c>
      <x:c r="G22" s="486" t="str">
        <x:v>decision-window event schema</x:v>
      </x:c>
      <x:c r="H22" s="486" t="str">
        <x:v>Time, cause, choices and expiry are textual</x:v>
      </x:c>
      <x:c r="I22" s="486" t="str">
        <x:v>VS-02/03</x:v>
      </x:c>
      <x:c r="J22" s="496" t="str">
        <x:v>Contract trace complete</x:v>
      </x:c>
    </x:row>
    <x:row r="23" ht="78" customHeight="1">
      <x:c r="A23" s="487" t="str">
        <x:v>CMP-19</x:v>
      </x:c>
      <x:c r="B23" s="487" t="str">
        <x:v>Interrupt Queue</x:v>
      </x:c>
      <x:c r="C23" s="487" t="str">
        <x:v>EVF-003, C3-ASY-002, C3-ASY-003</x:v>
      </x:c>
      <x:c r="D23" s="487" t="str">
        <x:v>Decision events + recovery + attention</x:v>
      </x:c>
      <x:c r="E23" s="487" t="str">
        <x:v>Timing/recovery coordinators</x:v>
      </x:c>
      <x:c r="F23" s="487" t="str">
        <x:v>Interrupt stack</x:v>
      </x:c>
      <x:c r="G23" s="487" t="str">
        <x:v>recovery and attention fixtures</x:v>
      </x:c>
      <x:c r="H23" s="487" t="str">
        <x:v>Ordered queue preserves draft and focus context</x:v>
      </x:c>
      <x:c r="I23" s="487" t="str">
        <x:v>VS-02/08</x:v>
      </x:c>
      <x:c r="J23" s="496" t="str">
        <x:v>Contract trace complete</x:v>
      </x:c>
    </x:row>
    <x:row r="24" ht="78" customHeight="1">
      <x:c r="A24" s="486" t="str">
        <x:v>CMP-20</x:v>
      </x:c>
      <x:c r="B24" s="486" t="str">
        <x:v>Tactical Emphasis Strip</x:v>
      </x:c>
      <x:c r="C24" s="486" t="str">
        <x:v>RM-003, C2-CHAR-001, C2-WORLD-003</x:v>
      </x:c>
      <x:c r="D24" s="486" t="str">
        <x:v>StageFrame + character/site pressure</x:v>
      </x:c>
      <x:c r="E24" s="486" t="str">
        <x:v>Stage composer</x:v>
      </x:c>
      <x:c r="F24" s="486" t="str">
        <x:v>Tactical emphasis module</x:v>
      </x:c>
      <x:c r="G24" s="486" t="str">
        <x:v>stage/character/site fixtures</x:v>
      </x:c>
      <x:c r="H24" s="486" t="str">
        <x:v>Position, hazard and decision state are noncolor labels</x:v>
      </x:c>
      <x:c r="I24" s="486" t="str">
        <x:v>VS-02/04/07</x:v>
      </x:c>
      <x:c r="J24" s="496" t="str">
        <x:v>Contract trace complete</x:v>
      </x:c>
    </x:row>
    <x:row r="25" ht="78" customHeight="1">
      <x:c r="A25" s="487" t="str">
        <x:v>CMP-21</x:v>
      </x:c>
      <x:c r="B25" s="487" t="str">
        <x:v>BP Ledger</x:v>
      </x:c>
      <x:c r="C25" s="487" t="str">
        <x:v>C2-CHAR-002, C2-CHAR-004, C2-CHAR-005</x:v>
      </x:c>
      <x:c r="D25" s="487" t="str">
        <x:v>AdvancementDraft + progression events</x:v>
      </x:c>
      <x:c r="E25" s="487" t="str">
        <x:v>Advancement validator/reducer</x:v>
      </x:c>
      <x:c r="F25" s="487" t="str">
        <x:v>BP audit table</x:v>
      </x:c>
      <x:c r="G25" s="487" t="str">
        <x:v>advancement; silent spend rejected</x:v>
      </x:c>
      <x:c r="H25" s="487" t="str">
        <x:v>Table semantics, source/spend/prerequisite errors and totals</x:v>
      </x:c>
      <x:c r="I25" s="487" t="str">
        <x:v>VS-04</x:v>
      </x:c>
      <x:c r="J25" s="496" t="str">
        <x:v>Contract trace complete</x:v>
      </x:c>
    </x:row>
    <x:row r="26" ht="78" customHeight="1">
      <x:c r="A26" s="486" t="str">
        <x:v>CMP-22</x:v>
      </x:c>
      <x:c r="B26" s="486" t="str">
        <x:v>Condition / Wound Card</x:v>
      </x:c>
      <x:c r="C26" s="486" t="str">
        <x:v>C2-CHAR-001, C2-CHAR-003</x:v>
      </x:c>
      <x:c r="D26" s="486" t="str">
        <x:v>CharacterRecord + ContinuationState</x:v>
      </x:c>
      <x:c r="E26" s="486" t="str">
        <x:v>Character projection</x:v>
      </x:c>
      <x:c r="F26" s="486" t="str">
        <x:v>Condition card</x:v>
      </x:c>
      <x:c r="G26" s="486" t="str">
        <x:v>ordinary survivor; continuation; false death rejected</x:v>
      </x:c>
      <x:c r="H26" s="486" t="str">
        <x:v>Severity, penalty, treatment and status use text</x:v>
      </x:c>
      <x:c r="I26" s="486" t="str">
        <x:v>VS-04</x:v>
      </x:c>
      <x:c r="J26" s="496" t="str">
        <x:v>Contract trace complete</x:v>
      </x:c>
    </x:row>
    <x:row r="27" ht="78" customHeight="1">
      <x:c r="A27" s="487" t="str">
        <x:v>CMP-23</x:v>
      </x:c>
      <x:c r="B27" s="487" t="str">
        <x:v>Relationship Card</x:v>
      </x:c>
      <x:c r="C27" s="487" t="str">
        <x:v>C2-COMP-001, C2-COMP-002, C2-COMP-005</x:v>
      </x:c>
      <x:c r="D27" s="487" t="str">
        <x:v>CompanyRecord + actor status</x:v>
      </x:c>
      <x:c r="E27" s="487" t="str">
        <x:v>Company/actor projection</x:v>
      </x:c>
      <x:c r="F27" s="487" t="str">
        <x:v>Relationship record</x:v>
      </x:c>
      <x:c r="G27" s="487" t="str">
        <x:v>company + actor refusal negatives</x:v>
      </x:c>
      <x:c r="H27" s="487" t="str">
        <x:v>Evidence, terms, boundary and alternatives are separated</x:v>
      </x:c>
      <x:c r="I27" s="487" t="str">
        <x:v>VS-05</x:v>
      </x:c>
      <x:c r="J27" s="496" t="str">
        <x:v>Contract trace complete</x:v>
      </x:c>
    </x:row>
    <x:row r="28" ht="78" customHeight="1">
      <x:c r="A28" s="486" t="str">
        <x:v>CMP-24</x:v>
      </x:c>
      <x:c r="B28" s="486" t="str">
        <x:v>Relic Bond Card</x:v>
      </x:c>
      <x:c r="C28" s="486" t="str">
        <x:v>C2-COMP-003, C2-COMP-005, COMMON-002</x:v>
      </x:c>
      <x:c r="D28" s="486" t="str">
        <x:v>RelicRecord + relic events</x:v>
      </x:c>
      <x:c r="E28" s="486" t="str">
        <x:v>Relic projection</x:v>
      </x:c>
      <x:c r="F28" s="486" t="str">
        <x:v>Relic record</x:v>
      </x:c>
      <x:c r="G28" s="486" t="str">
        <x:v>relic + exact-Bond rejected</x:v>
      </x:c>
      <x:c r="H28" s="486" t="str">
        <x:v>Custody, Claim, Attunement, access and agency labeled separately</x:v>
      </x:c>
      <x:c r="I28" s="486" t="str">
        <x:v>VS-05</x:v>
      </x:c>
      <x:c r="J28" s="496" t="str">
        <x:v>Contract trace complete</x:v>
      </x:c>
    </x:row>
    <x:row r="29" ht="78" customHeight="1">
      <x:c r="A29" s="487" t="str">
        <x:v>CMP-25</x:v>
      </x:c>
      <x:c r="B29" s="487" t="str">
        <x:v>Custody and Access Row</x:v>
      </x:c>
      <x:c r="C29" s="487" t="str">
        <x:v>C2-HOLD-001, C2-HOLD-004, C2-HOLD-005</x:v>
      </x:c>
      <x:c r="D29" s="487" t="str">
        <x:v>HoldingsRecord + transfer command/event</x:v>
      </x:c>
      <x:c r="E29" s="487" t="str">
        <x:v>Custody validator/reducer</x:v>
      </x:c>
      <x:c r="F29" s="487" t="str">
        <x:v>Custody row</x:v>
      </x:c>
      <x:c r="G29" s="487" t="str">
        <x:v>holdings; transfer; no-authority rejected</x:v>
      </x:c>
      <x:c r="H29" s="487" t="str">
        <x:v>Owner, holder, location, authority and availability headings</x:v>
      </x:c>
      <x:c r="I29" s="487" t="str">
        <x:v>VS-06</x:v>
      </x:c>
      <x:c r="J29" s="496" t="str">
        <x:v>Contract trace complete</x:v>
      </x:c>
    </x:row>
    <x:row r="30" ht="78" customHeight="1">
      <x:c r="A30" s="486" t="str">
        <x:v>CMP-26</x:v>
      </x:c>
      <x:c r="B30" s="486" t="str">
        <x:v>Item Comparison</x:v>
      </x:c>
      <x:c r="C30" s="486" t="str">
        <x:v>C2-HOLD-001, COMMON-002</x:v>
      </x:c>
      <x:c r="D30" s="486" t="str">
        <x:v>HoldingsRecord + projected task facts</x:v>
      </x:c>
      <x:c r="E30" s="486" t="str">
        <x:v>Holdings projection</x:v>
      </x:c>
      <x:c r="F30" s="486" t="str">
        <x:v>Comparison table</x:v>
      </x:c>
      <x:c r="G30" s="486" t="str">
        <x:v>holdings fixture</x:v>
      </x:c>
      <x:c r="H30" s="486" t="str">
        <x:v>Task-relative tradeoffs remain readable without universal score</x:v>
      </x:c>
      <x:c r="I30" s="486" t="str">
        <x:v>VS-06</x:v>
      </x:c>
      <x:c r="J30" s="496" t="str">
        <x:v>Contract trace complete</x:v>
      </x:c>
    </x:row>
    <x:row r="31" ht="78" customHeight="1">
      <x:c r="A31" s="487" t="str">
        <x:v>CMP-27</x:v>
      </x:c>
      <x:c r="B31" s="487" t="str">
        <x:v>Craft / Repair Plan</x:v>
      </x:c>
      <x:c r="C31" s="487" t="str">
        <x:v>C2-HOLD-002, C2-HOLD-003, C2-HOLD-005</x:v>
      </x:c>
      <x:c r="D31" s="487" t="str">
        <x:v>ProjectRecord + interval commands/events</x:v>
      </x:c>
      <x:c r="E31" s="487" t="str">
        <x:v>Project validator/reducer</x:v>
      </x:c>
      <x:c r="F31" s="487" t="str">
        <x:v>Project plan</x:v>
      </x:c>
      <x:c r="G31" s="487" t="str">
        <x:v>project draft/commit/checkpoint</x:v>
      </x:c>
      <x:c r="H31" s="487" t="str">
        <x:v>Intervals, materials, facility, checkpoints and blockers structured</x:v>
      </x:c>
      <x:c r="I31" s="487" t="str">
        <x:v>VS-06</x:v>
      </x:c>
      <x:c r="J31" s="496" t="str">
        <x:v>Contract trace complete</x:v>
      </x:c>
    </x:row>
    <x:row r="32" ht="78" customHeight="1">
      <x:c r="A32" s="486" t="str">
        <x:v>CMP-28</x:v>
      </x:c>
      <x:c r="B32" s="486" t="str">
        <x:v>Route / Journey Card</x:v>
      </x:c>
      <x:c r="C32" s="486" t="str">
        <x:v>C2-WORLD-002, C2-WORLD-006, C2-WORLD-007</x:v>
      </x:c>
      <x:c r="D32" s="486" t="str">
        <x:v>JourneyState + journey command/event</x:v>
      </x:c>
      <x:c r="E32" s="486" t="str">
        <x:v>Travel validator/reducer</x:v>
      </x:c>
      <x:c r="F32" s="486" t="str">
        <x:v>Journey plan</x:v>
      </x:c>
      <x:c r="G32" s="486" t="str">
        <x:v>journey lost/resolved; coordinate gate</x:v>
      </x:c>
      <x:c r="H32" s="486" t="str">
        <x:v>Known legs, roles, supplies, uncertainty and recovery labels</x:v>
      </x:c>
      <x:c r="I32" s="486" t="str">
        <x:v>VS-07</x:v>
      </x:c>
      <x:c r="J32" s="496" t="str">
        <x:v>Contract trace complete</x:v>
      </x:c>
    </x:row>
    <x:row r="33" ht="78" customHeight="1">
      <x:c r="A33" s="487" t="str">
        <x:v>CMP-29</x:v>
      </x:c>
      <x:c r="B33" s="487" t="str">
        <x:v>Knowledge-Safe Map</x:v>
      </x:c>
      <x:c r="C33" s="487" t="str">
        <x:v>COMMON-002, C2-WORLD-001, C2-WORLD-002</x:v>
      </x:c>
      <x:c r="D33" s="487" t="str">
        <x:v>KnownWorldMap + JourneyState</x:v>
      </x:c>
      <x:c r="E33" s="487" t="str">
        <x:v>Knowledge-map reducer</x:v>
      </x:c>
      <x:c r="F33" s="487" t="str">
        <x:v>Map with text alternative</x:v>
      </x:c>
      <x:c r="G33" s="487" t="str">
        <x:v>known world; lost journey; coordinate gate</x:v>
      </x:c>
      <x:c r="H33" s="487" t="str">
        <x:v>Map has list/table alternative, confidence and last-known status</x:v>
      </x:c>
      <x:c r="I33" s="487" t="str">
        <x:v>VS-07</x:v>
      </x:c>
      <x:c r="J33" s="496" t="str">
        <x:v>Contract trace complete</x:v>
      </x:c>
    </x:row>
    <x:row r="34" ht="78" customHeight="1">
      <x:c r="A34" s="486" t="str">
        <x:v>CMP-30</x:v>
      </x:c>
      <x:c r="B34" s="486" t="str">
        <x:v>Evidence Claim</x:v>
      </x:c>
      <x:c r="C34" s="486" t="str">
        <x:v>COMMON-002, C2-WORLD-004</x:v>
      </x:c>
      <x:c r="D34" s="486" t="str">
        <x:v>CaseRecord</x:v>
      </x:c>
      <x:c r="E34" s="486" t="str">
        <x:v>Case projection</x:v>
      </x:c>
      <x:c r="F34" s="486" t="str">
        <x:v>Evidence record</x:v>
      </x:c>
      <x:c r="G34" s="486" t="str">
        <x:v>case record</x:v>
      </x:c>
      <x:c r="H34" s="486" t="str">
        <x:v>Source, custody, confidence, contradiction and inference structured</x:v>
      </x:c>
      <x:c r="I34" s="486" t="str">
        <x:v>VS-07</x:v>
      </x:c>
      <x:c r="J34" s="496" t="str">
        <x:v>Contract trace complete</x:v>
      </x:c>
    </x:row>
    <x:row r="35" ht="78" customHeight="1">
      <x:c r="A35" s="487" t="str">
        <x:v>CMP-31</x:v>
      </x:c>
      <x:c r="B35" s="487" t="str">
        <x:v>Front Pressure Card</x:v>
      </x:c>
      <x:c r="C35" s="487" t="str">
        <x:v>C2-WORLD-005, C2-WORLD-007, C3-ASY-003</x:v>
      </x:c>
      <x:c r="D35" s="487" t="str">
        <x:v>FactionFrontLegalRecord + AttentionDigest</x:v>
      </x:c>
      <x:c r="E35" s="487" t="str">
        <x:v>Front/knowledge projection</x:v>
      </x:c>
      <x:c r="F35" s="487" t="str">
        <x:v>Pressure card</x:v>
      </x:c>
      <x:c r="G35" s="487" t="str">
        <x:v>front legal; secret clock rejected; attention</x:v>
      </x:c>
      <x:c r="H35" s="487" t="str">
        <x:v>Qualitative pressure and evidence source, never hidden clock</x:v>
      </x:c>
      <x:c r="I35" s="487" t="str">
        <x:v>VS-07/08</x:v>
      </x:c>
      <x:c r="J35" s="496" t="str">
        <x:v>Contract trace complete</x:v>
      </x:c>
    </x:row>
    <x:row r="36" ht="78" customHeight="1">
      <x:c r="A36" s="486" t="str">
        <x:v>CMP-32</x:v>
      </x:c>
      <x:c r="B36" s="486" t="str">
        <x:v>Legal Process Card</x:v>
      </x:c>
      <x:c r="C36" s="486" t="str">
        <x:v>C2-WORLD-005, C2-WORLD-006, C2-WORLD-007</x:v>
      </x:c>
      <x:c r="D36" s="486" t="str">
        <x:v>FactionFrontLegalRecord + world commands/events</x:v>
      </x:c>
      <x:c r="E36" s="486" t="str">
        <x:v>Legal/world reducer</x:v>
      </x:c>
      <x:c r="F36" s="486" t="str">
        <x:v>Legal record</x:v>
      </x:c>
      <x:c r="G36" s="486" t="str">
        <x:v>front legal and world event fixtures</x:v>
      </x:c>
      <x:c r="H36" s="486" t="str">
        <x:v>Jurisdiction, evidence, authority, exposure and next process distinct</x:v>
      </x:c>
      <x:c r="I36" s="486" t="str">
        <x:v>VS-07</x:v>
      </x:c>
      <x:c r="J36" s="496" t="str">
        <x:v>Contract trace complete</x:v>
      </x:c>
    </x:row>
    <x:row r="37" ht="78" customHeight="1">
      <x:c r="A37" s="487" t="str">
        <x:v>CMP-33</x:v>
      </x:c>
      <x:c r="B37" s="487" t="str">
        <x:v>Comic Job Card</x:v>
      </x:c>
      <x:c r="C37" s="487" t="str">
        <x:v>C3-MED-004, C3-CMD-005, C3-EVT-004</x:v>
      </x:c>
      <x:c r="D37" s="487" t="str">
        <x:v>ComicJobRecord</x:v>
      </x:c>
      <x:c r="E37" s="487" t="str">
        <x:v>Media job coordinator</x:v>
      </x:c>
      <x:c r="F37" s="487" t="str">
        <x:v>Background job card</x:v>
      </x:c>
      <x:c r="G37" s="487" t="str">
        <x:v>job stages; percentage/ETA/queue-loss rejected</x:v>
      </x:c>
      <x:c r="H37" s="487" t="str">
        <x:v>Named stage, checkpoint, blocker and recovery; no fake progress</x:v>
      </x:c>
      <x:c r="I37" s="487" t="str">
        <x:v>VS-09</x:v>
      </x:c>
      <x:c r="J37" s="496" t="str">
        <x:v>Contract trace complete</x:v>
      </x:c>
    </x:row>
    <x:row r="38" ht="78" customHeight="1">
      <x:c r="A38" s="486" t="str">
        <x:v>CMP-34</x:v>
      </x:c>
      <x:c r="B38" s="486" t="str">
        <x:v>Comic Reader Controls</x:v>
      </x:c>
      <x:c r="C38" s="486" t="str">
        <x:v>C3-MED-005, C3-MED-008, C3-CMD-006</x:v>
      </x:c>
      <x:c r="D38" s="486" t="str">
        <x:v>ComicReaderRecord + AccessiblePublicationPackage</x:v>
      </x:c>
      <x:c r="E38" s="486" t="str">
        <x:v>Publication projection</x:v>
      </x:c>
      <x:c r="F38" s="486" t="str">
        <x:v>Reader controls</x:v>
      </x:c>
      <x:c r="G38" s="486" t="str">
        <x:v>reader/published/accessibility/WIP gates</x:v>
      </x:c>
      <x:c r="H38" s="486" t="str">
        <x:v>Reading order, edition, ceiling, alt text and transcripts navigable</x:v>
      </x:c>
      <x:c r="I38" s="486" t="str">
        <x:v>VS-10</x:v>
      </x:c>
      <x:c r="J38" s="496" t="str">
        <x:v>Contract trace complete</x:v>
      </x:c>
    </x:row>
    <x:row r="39" ht="78" customHeight="1">
      <x:c r="A39" s="487" t="str">
        <x:v>CMP-35</x:v>
      </x:c>
      <x:c r="B39" s="487" t="str">
        <x:v>Visible Focus</x:v>
      </x:c>
      <x:c r="C39" s="487" t="str">
        <x:v>COMMON-005, C3-A11Y-001</x:v>
      </x:c>
      <x:c r="D39" s="487" t="str">
        <x:v>AccessibilitySemantic + AccessibilityProfile</x:v>
      </x:c>
      <x:c r="E39" s="487" t="str">
        <x:v>Semantic projection/preference</x:v>
      </x:c>
      <x:c r="F39" s="487" t="str">
        <x:v>Focus styling primitive</x:v>
      </x:c>
      <x:c r="G39" s="487" t="str">
        <x:v>accessibility profile; drag-only rejected</x:v>
      </x:c>
      <x:c r="H39" s="487" t="str">
        <x:v>Visible focus survives contrast and does not rely on color</x:v>
      </x:c>
      <x:c r="I39" s="487" t="str">
        <x:v>VS-11</x:v>
      </x:c>
      <x:c r="J39" s="496" t="str">
        <x:v>Contract trace complete</x:v>
      </x:c>
    </x:row>
    <x:row r="40" ht="78" customHeight="1">
      <x:c r="A40" s="486" t="str">
        <x:v>CMP-36</x:v>
      </x:c>
      <x:c r="B40" s="486" t="str">
        <x:v>Semantic Regions</x:v>
      </x:c>
      <x:c r="C40" s="486" t="str">
        <x:v>COMMON-005, C3-A11Y-001, C3-A11Y-003</x:v>
      </x:c>
      <x:c r="D40" s="486" t="str">
        <x:v>AccessibilitySemantic + localization direction</x:v>
      </x:c>
      <x:c r="E40" s="486" t="str">
        <x:v>Semantic projection</x:v>
      </x:c>
      <x:c r="F40" s="486" t="str">
        <x:v>Landmark primitives</x:v>
      </x:c>
      <x:c r="G40" s="486" t="str">
        <x:v>accessibility/localization fixtures</x:v>
      </x:c>
      <x:c r="H40" s="486" t="str">
        <x:v>Stable landmarks, headings and reading direction</x:v>
      </x:c>
      <x:c r="I40" s="486" t="str">
        <x:v>VS-11</x:v>
      </x:c>
      <x:c r="J40" s="496" t="str">
        <x:v>Contract trace complete</x:v>
      </x:c>
    </x:row>
    <x:row r="41" ht="78" customHeight="1">
      <x:c r="A41" s="487" t="str">
        <x:v>CMP-37</x:v>
      </x:c>
      <x:c r="B41" s="487" t="str">
        <x:v>Noncolor State Cue</x:v>
      </x:c>
      <x:c r="C41" s="487" t="str">
        <x:v>COMMON-005, C3-A11Y-001</x:v>
      </x:c>
      <x:c r="D41" s="487" t="str">
        <x:v>AccessibilitySemantic</x:v>
      </x:c>
      <x:c r="E41" s="487" t="str">
        <x:v>Semantic projection</x:v>
      </x:c>
      <x:c r="F41" s="487" t="str">
        <x:v>State cue primitive</x:v>
      </x:c>
      <x:c r="G41" s="487" t="str">
        <x:v>accessibility fixture</x:v>
      </x:c>
      <x:c r="H41" s="487" t="str">
        <x:v>Labels, shapes and text carry every critical state</x:v>
      </x:c>
      <x:c r="I41" s="487" t="str">
        <x:v>VS-11</x:v>
      </x:c>
      <x:c r="J41" s="496" t="str">
        <x:v>Contract trace complete</x:v>
      </x:c>
    </x:row>
    <x:row r="42" ht="78" customHeight="1">
      <x:c r="A42" s="486" t="str">
        <x:v>CMP-38</x:v>
      </x:c>
      <x:c r="B42" s="486" t="str">
        <x:v>Live-Region Message</x:v>
      </x:c>
      <x:c r="C42" s="486" t="str">
        <x:v>COMMON-005, EVF-010, C3-EVT-001, C3-EVT-004</x:v>
      </x:c>
      <x:c r="D42" s="486" t="str">
        <x:v>Accessibility announcement + recovery/media events</x:v>
      </x:c>
      <x:c r="E42" s="486" t="str">
        <x:v>Projection/event boundary</x:v>
      </x:c>
      <x:c r="F42" s="486" t="str">
        <x:v>Announcement broker</x:v>
      </x:c>
      <x:c r="G42" s="486" t="str">
        <x:v>recovery and media event fixtures</x:v>
      </x:c>
      <x:c r="H42" s="486" t="str">
        <x:v>Polite/assertive priority, dedupe and no focus theft</x:v>
      </x:c>
      <x:c r="I42" s="486" t="str">
        <x:v>VS-11</x:v>
      </x:c>
      <x:c r="J42" s="496" t="str">
        <x:v>Contract trace complete</x:v>
      </x:c>
    </x:row>
    <x:row r="43" ht="78" customHeight="1">
      <x:c r="A43" s="487" t="str">
        <x:v>CMP-39</x:v>
      </x:c>
      <x:c r="B43" s="487" t="str">
        <x:v>Alternate Input Tray</x:v>
      </x:c>
      <x:c r="C43" s="487" t="str">
        <x:v>RM-005, C3-A11Y-001, C3-CMD-002</x:v>
      </x:c>
      <x:c r="D43" s="487" t="str">
        <x:v>IntentCapability + AccessibilityProfile</x:v>
      </x:c>
      <x:c r="E43" s="487" t="str">
        <x:v>Input adapter/preference service</x:v>
      </x:c>
      <x:c r="F43" s="487" t="str">
        <x:v>Input adapter tray</x:v>
      </x:c>
      <x:c r="G43" s="487" t="str">
        <x:v>intent/accessibility/update fixtures</x:v>
      </x:c>
      <x:c r="H43" s="487" t="str">
        <x:v>Core intent supports keyboard, voice, switch and non-drag paths</x:v>
      </x:c>
      <x:c r="I43" s="487" t="str">
        <x:v>VS-11</x:v>
      </x:c>
      <x:c r="J43" s="496" t="str">
        <x:v>Contract trace complete</x:v>
      </x:c>
    </x:row>
    <x:row r="44" ht="78" customHeight="1">
      <x:c r="A44" s="507" t="str">
        <x:v>CMP-40</x:v>
      </x:c>
      <x:c r="B44" s="507" t="str">
        <x:v>Motion Substitute</x:v>
      </x:c>
      <x:c r="C44" s="507" t="str">
        <x:v>COMMON-005, C3-A11Y-001, C3-ASY-003</x:v>
      </x:c>
      <x:c r="D44" s="507" t="str">
        <x:v>AccessibilitySemantic + AttentionDigest</x:v>
      </x:c>
      <x:c r="E44" s="507" t="str">
        <x:v>Semantic projection</x:v>
      </x:c>
      <x:c r="F44" s="507" t="str">
        <x:v>Reduced-motion presenter</x:v>
      </x:c>
      <x:c r="G44" s="507" t="str">
        <x:v>accessibility + attention fixtures</x:v>
      </x:c>
      <x:c r="H44" s="507" t="str">
        <x:v>Textual sequence and final state replace nonessential animation</x:v>
      </x:c>
      <x:c r="I44" s="507" t="str">
        <x:v>VS-11</x:v>
      </x:c>
      <x:c r="J44" s="497" t="str">
        <x:v>Contract trace complete</x:v>
      </x:c>
    </x:row>
  </x:sheetData>
  <x:mergeCells>
    <x:mergeCell ref="A1:J1"/>
    <x:mergeCell ref="A2:J2"/>
  </x:mergeCells>
  <x:pageMargins left="0.7" right="0.7" top="0.75" bottom="0.75" header="0.3" footer="0.3"/>
  <x:tableParts count="1">
    <x:tablePart xmlns:r="http://schemas.openxmlformats.org/officeDocument/2006/relationships" r:id="Ra68742ef5b2f492f"/>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4" hidden="0" customWidth="1"/>
    <x:col min="4" max="4" width="38" hidden="0" customWidth="1"/>
    <x:col min="5" max="5" width="44" hidden="0" customWidth="1"/>
    <x:col min="6" max="6" width="44" hidden="0" customWidth="1"/>
    <x:col min="7" max="7" width="29" hidden="0" customWidth="1"/>
    <x:col min="8" max="8" width="29" hidden="0" customWidth="1"/>
    <x:col min="9" max="9" width="35" hidden="0" customWidth="1"/>
    <x:col min="10" max="10" width="43" hidden="0" customWidth="1"/>
    <x:col min="11" max="11" width="46" hidden="0" customWidth="1"/>
    <x:col min="12" max="12" width="44" hidden="0" customWidth="1"/>
    <x:col min="13" max="13" width="48" hidden="0" customWidth="1"/>
    <x:col min="14" max="14" width="28" hidden="0" customWidth="1"/>
    <x:col min="15" max="15" width="47" hidden="0" customWidth="1"/>
    <x:col min="16" max="16" width="30" hidden="0" customWidth="1"/>
    <x:col min="17" max="17" width="48" hidden="0" customWidth="1"/>
    <x:col min="18" max="18" width="44" hidden="0" customWidth="1"/>
    <x:col min="19" max="19" width="55" hidden="0" customWidth="1"/>
    <x:col min="20" max="20" width="30" hidden="0" customWidth="1"/>
  </x:cols>
  <x:sheetData>
    <x:row r="1">
      <x:c r="A1" s="424" t="str">
        <x:v>CHECKPOINT C4 • SEQUENCED PRE-ENGINEERING + PRODUCTION BACKLOG</x:v>
      </x:c>
      <x:c r="B1" s="424" t="str">
        <x:v>CHECKPOINT C4 • SEQUENCED PRE-ENGINEERING + PRODUCTION BACKLOG</x:v>
      </x:c>
      <x:c r="C1" s="424" t="str">
        <x:v>CHECKPOINT C4 • SEQUENCED PRE-ENGINEERING + PRODUCTION BACKLOG</x:v>
      </x:c>
      <x:c r="D1" s="424" t="str">
        <x:v>CHECKPOINT C4 • SEQUENCED PRE-ENGINEERING + PRODUCTION BACKLOG</x:v>
      </x:c>
      <x:c r="E1" s="424" t="str">
        <x:v>CHECKPOINT C4 • SEQUENCED PRE-ENGINEERING + PRODUCTION BACKLOG</x:v>
      </x:c>
      <x:c r="F1" s="424" t="str">
        <x:v>CHECKPOINT C4 • SEQUENCED PRE-ENGINEERING + PRODUCTION BACKLOG</x:v>
      </x:c>
      <x:c r="G1" s="424" t="str">
        <x:v>CHECKPOINT C4 • SEQUENCED PRE-ENGINEERING + PRODUCTION BACKLOG</x:v>
      </x:c>
      <x:c r="H1" s="424" t="str">
        <x:v>CHECKPOINT C4 • SEQUENCED PRE-ENGINEERING + PRODUCTION BACKLOG</x:v>
      </x:c>
      <x:c r="I1" s="424" t="str">
        <x:v>CHECKPOINT C4 • SEQUENCED PRE-ENGINEERING + PRODUCTION BACKLOG</x:v>
      </x:c>
      <x:c r="J1" s="424" t="str">
        <x:v>CHECKPOINT C4 • SEQUENCED PRE-ENGINEERING + PRODUCTION BACKLOG</x:v>
      </x:c>
      <x:c r="K1" s="424" t="str">
        <x:v>CHECKPOINT C4 • SEQUENCED PRE-ENGINEERING + PRODUCTION BACKLOG</x:v>
      </x:c>
      <x:c r="L1" s="424" t="str">
        <x:v>CHECKPOINT C4 • SEQUENCED PRE-ENGINEERING + PRODUCTION BACKLOG</x:v>
      </x:c>
      <x:c r="M1" s="424" t="str">
        <x:v>CHECKPOINT C4 • SEQUENCED PRE-ENGINEERING + PRODUCTION BACKLOG</x:v>
      </x:c>
      <x:c r="N1" s="424" t="str">
        <x:v>CHECKPOINT C4 • SEQUENCED PRE-ENGINEERING + PRODUCTION BACKLOG</x:v>
      </x:c>
      <x:c r="O1" s="424" t="str">
        <x:v>CHECKPOINT C4 • SEQUENCED PRE-ENGINEERING + PRODUCTION BACKLOG</x:v>
      </x:c>
      <x:c r="P1" s="424" t="str">
        <x:v>CHECKPOINT C4 • SEQUENCED PRE-ENGINEERING + PRODUCTION BACKLOG</x:v>
      </x:c>
      <x:c r="Q1" s="424" t="str">
        <x:v>CHECKPOINT C4 • SEQUENCED PRE-ENGINEERING + PRODUCTION BACKLOG</x:v>
      </x:c>
      <x:c r="R1" s="424" t="str">
        <x:v>CHECKPOINT C4 • SEQUENCED PRE-ENGINEERING + PRODUCTION BACKLOG</x:v>
      </x:c>
      <x:c r="S1" s="424" t="str">
        <x:v>CHECKPOINT C4 • SEQUENCED PRE-ENGINEERING + PRODUCTION BACKLOG</x:v>
      </x:c>
      <x:c r="T1" s="424" t="str">
        <x:v>CHECKPOINT C4 • SEQUENCED PRE-ENGINEERING + PRODUCTION BACKLOG</x:v>
      </x:c>
    </x:row>
    <x:row r="2">
      <x:c r="A2" s="428" t="str">
        <x:v>Engine and frontend work remain paired by usable player capability • production rows stay closed until the separate authorization opens</x:v>
      </x:c>
      <x:c r="B2" s="428" t="str">
        <x:v>Engine and frontend work remain paired by usable player capability • production rows stay closed until the separate authorization opens</x:v>
      </x:c>
      <x:c r="C2" s="428" t="str">
        <x:v>Engine and frontend work remain paired by usable player capability • production rows stay closed until the separate authorization opens</x:v>
      </x:c>
      <x:c r="D2" s="428" t="str">
        <x:v>Engine and frontend work remain paired by usable player capability • production rows stay closed until the separate authorization opens</x:v>
      </x:c>
      <x:c r="E2" s="428" t="str">
        <x:v>Engine and frontend work remain paired by usable player capability • production rows stay closed until the separate authorization opens</x:v>
      </x:c>
      <x:c r="F2" s="428" t="str">
        <x:v>Engine and frontend work remain paired by usable player capability • production rows stay closed until the separate authorization opens</x:v>
      </x:c>
      <x:c r="G2" s="428" t="str">
        <x:v>Engine and frontend work remain paired by usable player capability • production rows stay closed until the separate authorization opens</x:v>
      </x:c>
      <x:c r="H2" s="428" t="str">
        <x:v>Engine and frontend work remain paired by usable player capability • production rows stay closed until the separate authorization opens</x:v>
      </x:c>
      <x:c r="I2" s="428" t="str">
        <x:v>Engine and frontend work remain paired by usable player capability • production rows stay closed until the separate authorization opens</x:v>
      </x:c>
      <x:c r="J2" s="428" t="str">
        <x:v>Engine and frontend work remain paired by usable player capability • production rows stay closed until the separate authorization opens</x:v>
      </x:c>
      <x:c r="K2" s="428" t="str">
        <x:v>Engine and frontend work remain paired by usable player capability • production rows stay closed until the separate authorization opens</x:v>
      </x:c>
      <x:c r="L2" s="428" t="str">
        <x:v>Engine and frontend work remain paired by usable player capability • production rows stay closed until the separate authorization opens</x:v>
      </x:c>
      <x:c r="M2" s="428" t="str">
        <x:v>Engine and frontend work remain paired by usable player capability • production rows stay closed until the separate authorization opens</x:v>
      </x:c>
      <x:c r="N2" s="428" t="str">
        <x:v>Engine and frontend work remain paired by usable player capability • production rows stay closed until the separate authorization opens</x:v>
      </x:c>
      <x:c r="O2" s="428" t="str">
        <x:v>Engine and frontend work remain paired by usable player capability • production rows stay closed until the separate authorization opens</x:v>
      </x:c>
      <x:c r="P2" s="428" t="str">
        <x:v>Engine and frontend work remain paired by usable player capability • production rows stay closed until the separate authorization opens</x:v>
      </x:c>
      <x:c r="Q2" s="428" t="str">
        <x:v>Engine and frontend work remain paired by usable player capability • production rows stay closed until the separate authorization opens</x:v>
      </x:c>
      <x:c r="R2" s="428" t="str">
        <x:v>Engine and frontend work remain paired by usable player capability • production rows stay closed until the separate authorization opens</x:v>
      </x:c>
      <x:c r="S2" s="428" t="str">
        <x:v>Engine and frontend work remain paired by usable player capability • production rows stay closed until the separate authorization opens</x:v>
      </x:c>
      <x:c r="T2" s="428" t="str">
        <x:v>Engine and frontend work remain paired by usable player capability • production rows stay closed until the separate authorization opens</x:v>
      </x:c>
    </x:row>
    <x:row r="4">
      <x:c r="A4" s="483" t="str">
        <x:v>Seq</x:v>
      </x:c>
      <x:c r="B4" s="484" t="str">
        <x:v>Item</x:v>
      </x:c>
      <x:c r="C4" s="484" t="str">
        <x:v>Phase</x:v>
      </x:c>
      <x:c r="D4" s="484" t="str">
        <x:v>Capability</x:v>
      </x:c>
      <x:c r="E4" s="484" t="str">
        <x:v>Player Outcome</x:v>
      </x:c>
      <x:c r="F4" s="484" t="str">
        <x:v>Contract IDs</x:v>
      </x:c>
      <x:c r="G4" s="484" t="str">
        <x:v>Authority Owner</x:v>
      </x:c>
      <x:c r="H4" s="484" t="str">
        <x:v>Implementation Owner</x:v>
      </x:c>
      <x:c r="I4" s="484" t="str">
        <x:v>Dependencies</x:v>
      </x:c>
      <x:c r="J4" s="484" t="str">
        <x:v>State / Version Assumptions</x:v>
      </x:c>
      <x:c r="K4" s="484" t="str">
        <x:v>Knowledge / Permission Boundary</x:v>
      </x:c>
      <x:c r="L4" s="484" t="str">
        <x:v>Success Branch</x:v>
      </x:c>
      <x:c r="M4" s="484" t="str">
        <x:v>Exception Branches</x:v>
      </x:c>
      <x:c r="N4" s="484" t="str">
        <x:v>UI States</x:v>
      </x:c>
      <x:c r="O4" s="484" t="str">
        <x:v>Accessibility</x:v>
      </x:c>
      <x:c r="P4" s="484" t="str">
        <x:v>Analytics</x:v>
      </x:c>
      <x:c r="Q4" s="484" t="str">
        <x:v>Fixtures / Tests</x:v>
      </x:c>
      <x:c r="R4" s="484" t="str">
        <x:v>Requirement · Scenario · Component Trace</x:v>
      </x:c>
      <x:c r="S4" s="484" t="str">
        <x:v>Definition of Done</x:v>
      </x:c>
      <x:c r="T4" s="485" t="str">
        <x:v>Authorization</x:v>
      </x:c>
    </x:row>
    <x:row r="5" ht="104" customHeight="1">
      <x:c r="A5" s="515" t="n">
        <x:v>1</x:v>
      </x:c>
      <x:c r="B5" s="457" t="str">
        <x:v>PRE-01</x:v>
      </x:c>
      <x:c r="C5" s="457" t="str">
        <x:v>Engine prerequisite</x:v>
      </x:c>
      <x:c r="D5" s="457" t="str">
        <x:v>Schema generation and runtime validation</x:v>
      </x:c>
      <x:c r="E5" s="457" t="str">
        <x:v>Every UI payload is typed and validated from one approved contract source.</x:v>
      </x:c>
      <x:c r="F5" s="457" t="str">
        <x:v>GEN-C1, C2-GEN-001, C3-GEN-001</x:v>
      </x:c>
      <x:c r="G5" s="457" t="str">
        <x:v>Build system</x:v>
      </x:c>
      <x:c r="H5" s="457" t="str">
        <x:v>Platform</x:v>
      </x:c>
      <x:c r="I5" s="457" t="str">
        <x:v>None</x:v>
      </x:c>
      <x:c r="J5" s="457" t="str">
        <x:v>Approved C1-C3 semantic versions are pinned.</x:v>
      </x:c>
      <x:c r="K5" s="457" t="str">
        <x:v>Generated consumers cannot add hidden/private fields.</x:v>
      </x:c>
      <x:c r="L5" s="457" t="str">
        <x:v>Types and runtime validators reproduce approved schemas.</x:v>
      </x:c>
      <x:c r="M5" s="457" t="str">
        <x:v>generation mismatch, schema reference failure, version drift</x:v>
      </x:c>
      <x:c r="N5" s="457" t="str">
        <x:v>loading, empty, stale, conflict, recovery</x:v>
      </x:c>
      <x:c r="O5" s="457" t="str">
        <x:v>Accessibility companion fields remain typed and required.</x:v>
      </x:c>
      <x:c r="P5" s="457" t="str">
        <x:v>None unless an approved coarse category is named</x:v>
      </x:c>
      <x:c r="Q5" s="457" t="str">
        <x:v>All 127 approved fixture expectations plus generated-diff test.</x:v>
      </x:c>
      <x:c r="R5" s="457" t="str">
        <x:v>Req: FND-003, ACC-003
Scn: SCN-01–17
Cmp: CMP-01–40</x:v>
      </x:c>
      <x:c r="S5" s="457" t="str">
        <x:v>A deterministic generator is selected; clean generation creates no diff; runtime validation rejects all approved negative fixtures.</x:v>
      </x:c>
      <x:c r="T5" s="504" t="str">
        <x:v>Planned; production implementation closed</x:v>
      </x:c>
    </x:row>
    <x:row r="6" ht="104" customHeight="1">
      <x:c r="A6" s="516" t="n">
        <x:v>2</x:v>
      </x:c>
      <x:c r="B6" s="486" t="str">
        <x:v>PRE-02</x:v>
      </x:c>
      <x:c r="C6" s="486" t="str">
        <x:v>Engine prerequisite</x:v>
      </x:c>
      <x:c r="D6" s="486" t="str">
        <x:v>Viewpoint-safe projection gateway</x:v>
      </x:c>
      <x:c r="E6" s="486" t="str">
        <x:v>The browser receives only permitted facts, provenance, freshness and actions.</x:v>
      </x:c>
      <x:c r="F6" s="486" t="str">
        <x:v>COMMON-002, COMMON-003, RM-002, RM-003, RM-004</x:v>
      </x:c>
      <x:c r="G6" s="486" t="str">
        <x:v>Knowledge projection</x:v>
      </x:c>
      <x:c r="H6" s="486" t="str">
        <x:v>Engine/platform</x:v>
      </x:c>
      <x:c r="I6" s="486" t="str">
        <x:v>PRE-01</x:v>
      </x:c>
      <x:c r="J6" s="486" t="str">
        <x:v>Every read binds campaign, viewpoint, state version and Knowledge Snapshot.</x:v>
      </x:c>
      <x:c r="K6" s="486" t="str">
        <x:v>Hidden truth is omitted before serialization.</x:v>
      </x:c>
      <x:c r="L6" s="486" t="str">
        <x:v>Current viewpoint projection passes runtime validation.</x:v>
      </x:c>
      <x:c r="M6" s="486" t="str">
        <x:v>last known, disputed, stale material, permission unavailable, unknown</x:v>
      </x:c>
      <x:c r="N6" s="486" t="str">
        <x:v>loading, empty, stale, conflict, recovery</x:v>
      </x:c>
      <x:c r="O6" s="486" t="str">
        <x:v>Material state includes equivalent semantic companion data.</x:v>
      </x:c>
      <x:c r="P6" s="486" t="str">
        <x:v>None unless an approved coarse category is named</x:v>
      </x:c>
      <x:c r="Q6" s="486" t="str">
        <x:v>Stage hidden-truth, map coordinates, Front clock, private motive and Bond leakage canaries.</x:v>
      </x:c>
      <x:c r="R6" s="486" t="str">
        <x:v>Req: KNO-001, KNO-007, TIM-006
Scn: SCN-01, SCN-07–10, SCN-13
Cmp: CMP-01, CMP-03–04, CMP-09–12, CMP-29–32</x:v>
      </x:c>
      <x:c r="S6" s="486" t="str">
        <x:v>Leakage canaries fail closed and every projection names freshness and permitted actions.</x:v>
      </x:c>
      <x:c r="T6" s="505" t="str">
        <x:v>Planned; production implementation closed</x:v>
      </x:c>
    </x:row>
    <x:row r="7" ht="104" customHeight="1">
      <x:c r="A7" s="517" t="n">
        <x:v>3</x:v>
      </x:c>
      <x:c r="B7" s="487" t="str">
        <x:v>PRE-03</x:v>
      </x:c>
      <x:c r="C7" s="487" t="str">
        <x:v>Engine prerequisite</x:v>
      </x:c>
      <x:c r="D7" s="487" t="str">
        <x:v>Idempotent command gateway and receipt lookup</x:v>
      </x:c>
      <x:c r="E7" s="487" t="str">
        <x:v>A lost response never duplicates a canonical action.</x:v>
      </x:c>
      <x:c r="F7" s="487" t="str">
        <x:v>CMD-004, CMD-013, COMMON-004, EVF-004, EVF-007</x:v>
      </x:c>
      <x:c r="G7" s="487" t="str">
        <x:v>Command gateway + reducer</x:v>
      </x:c>
      <x:c r="H7" s="487" t="str">
        <x:v>Engine/platform</x:v>
      </x:c>
      <x:c r="I7" s="487" t="str">
        <x:v>PRE-01, PRE-02</x:v>
      </x:c>
      <x:c r="J7" s="487" t="str">
        <x:v>Command binds source state, proposal version, viewpoint and idempotency key.</x:v>
      </x:c>
      <x:c r="K7" s="487" t="str">
        <x:v>Receipts contain public outcomes and safe recovery only.</x:v>
      </x:c>
      <x:c r="L7" s="487" t="str">
        <x:v>Committed receipt returns event lineage and new state.</x:v>
      </x:c>
      <x:c r="M7" s="487" t="str">
        <x:v>rejected, refused, interrupted, unavailable, replan, conflict, unknown commit</x:v>
      </x:c>
      <x:c r="N7" s="487" t="str">
        <x:v>loading, empty, stale, conflict, recovery</x:v>
      </x:c>
      <x:c r="O7" s="487" t="str">
        <x:v>Outcome and safe next action are announced without focus theft.</x:v>
      </x:c>
      <x:c r="P7" s="487" t="str">
        <x:v>None unless an approved coarse category is named</x:v>
      </x:c>
      <x:c r="Q7" s="487" t="str">
        <x:v>All C1 receipt branches; no-idempotency gate; lookup-before-retry E2E.</x:v>
      </x:c>
      <x:c r="R7" s="487" t="str">
        <x:v>Req: TIM-005, FND-004, GAP-014
Scn: SCN-04–05, SCN-11, SCN-17
Cmp: CMP-15–17, CMP-38</x:v>
      </x:c>
      <x:c r="S7" s="487" t="str">
        <x:v>Repeated idempotency keys cannot duplicate mutation; unknown commit resolves before retry.</x:v>
      </x:c>
      <x:c r="T7" s="505" t="str">
        <x:v>Planned; production implementation closed</x:v>
      </x:c>
    </x:row>
    <x:row r="8" ht="104" customHeight="1">
      <x:c r="A8" s="516" t="n">
        <x:v>4</x:v>
      </x:c>
      <x:c r="B8" s="486" t="str">
        <x:v>PRE-04</x:v>
      </x:c>
      <x:c r="C8" s="486" t="str">
        <x:v>Engine prerequisite</x:v>
      </x:c>
      <x:c r="D8" s="486" t="str">
        <x:v>Ordered event stream, durable save and reconnect</x:v>
      </x:c>
      <x:c r="E8" s="486" t="str">
        <x:v>Play, drafts and background work survive interruption and resume honestly.</x:v>
      </x:c>
      <x:c r="F8" s="486" t="str">
        <x:v>ASYNC-C1, C2-ASYNC-001, C3-ASY-001, C3-ASY-002, C3-EVT-001</x:v>
      </x:c>
      <x:c r="G8" s="486" t="str">
        <x:v>Event stream + recovery coordinator</x:v>
      </x:c>
      <x:c r="H8" s="486" t="str">
        <x:v>Platform</x:v>
      </x:c>
      <x:c r="I8" s="486" t="str">
        <x:v>PRE-01, PRE-03</x:v>
      </x:c>
      <x:c r="J8" s="486" t="str">
        <x:v>Event cursor and durable checkpoint are monotonic per campaign/viewpoint.</x:v>
      </x:c>
      <x:c r="K8" s="486" t="str">
        <x:v>Reconnect never exposes missed private events.</x:v>
      </x:c>
      <x:c r="L8" s="486" t="str">
        <x:v>Resume from last durable checkpoint and ordered cursor.</x:v>
      </x:c>
      <x:c r="M8" s="486" t="str">
        <x:v>offline safe, read only, canonical conflict, provider unavailable, unknown commit</x:v>
      </x:c>
      <x:c r="N8" s="486" t="str">
        <x:v>loading, empty, stale, conflict, recovery</x:v>
      </x:c>
      <x:c r="O8" s="486" t="str">
        <x:v>Connectivity and recovery use stable status regions and explicit actions.</x:v>
      </x:c>
      <x:c r="P8" s="486" t="str">
        <x:v>None unless an approved coarse category is named</x:v>
      </x:c>
      <x:c r="Q8" s="486" t="str">
        <x:v>Degraded connectivity, save recovery, queue preservation and ordered event tests.</x:v>
      </x:c>
      <x:c r="R8" s="486" t="str">
        <x:v>Req: TIM-001, TIM-005, ACC-002
Scn: SCN-01, SCN-13–14, SCN-17
Cmp: CMP-01–02, CMP-07–08, CMP-19, CMP-33, CMP-38</x:v>
      </x:c>
      <x:c r="S8" s="486" t="str">
        <x:v>Cold restart and simulated disconnect preserve checkpoint, draft, queue, capture and Source Lock without duplicate events.</x:v>
      </x:c>
      <x:c r="T8" s="505" t="str">
        <x:v>Planned; production implementation closed</x:v>
      </x:c>
    </x:row>
    <x:row r="9" ht="104" customHeight="1">
      <x:c r="A9" s="517" t="n">
        <x:v>5</x:v>
      </x:c>
      <x:c r="B9" s="487" t="str">
        <x:v>PRE-05</x:v>
      </x:c>
      <x:c r="C9" s="487" t="str">
        <x:v>Engine prerequisite</x:v>
      </x:c>
      <x:c r="D9" s="487" t="str">
        <x:v>Accessibility, content-control and localization services</x:v>
      </x:c>
      <x:c r="E9" s="487" t="str">
        <x:v>Presentation adapts without changing legal play or meaning.</x:v>
      </x:c>
      <x:c r="F9" s="487" t="str">
        <x:v>COMMON-005, C3-A11Y-001, C3-A11Y-002, C3-A11Y-003, C3-CMD-002</x:v>
      </x:c>
      <x:c r="G9" s="487" t="str">
        <x:v>Preference/localization services</x:v>
      </x:c>
      <x:c r="H9" s="487" t="str">
        <x:v>Platform + accessibility</x:v>
      </x:c>
      <x:c r="I9" s="487" t="str">
        <x:v>PRE-01, PRE-02</x:v>
      </x:c>
      <x:c r="J9" s="487" t="str">
        <x:v>Confirmed profiles are versioned and session-persistent.</x:v>
      </x:c>
      <x:c r="K9" s="487" t="str">
        <x:v>Preferences are explicit user settings, never inferred from prose.</x:v>
      </x:c>
      <x:c r="L9" s="487" t="str">
        <x:v>Confirmed preference or locale applies across play and comics.</x:v>
      </x:c>
      <x:c r="M9" s="487" t="str">
        <x:v>unsupported input fallback, profile conflict, missing glyph/font, localization block</x:v>
      </x:c>
      <x:c r="N9" s="487" t="str">
        <x:v>loading, empty, stale, conflict, recovery</x:v>
      </x:c>
      <x:c r="O9" s="487" t="str">
        <x:v>Keyboard, voice, switch, non-drag, text scale, contrast, reduced motion and reading direction are structural.</x:v>
      </x:c>
      <x:c r="P9" s="487" t="str">
        <x:v>None unless an approved coarse category is named</x:v>
      </x:c>
      <x:c r="Q9" s="487" t="str">
        <x:v>Drag-only and localization meaning-change gates; AT semantic completeness.</x:v>
      </x:c>
      <x:c r="R9" s="487" t="str">
        <x:v>Req: ACC-001–004, ONB-001
Scn: SCN-01, SCN-15–17
Cmp: CMP-35–40</x:v>
      </x:c>
      <x:c r="S9" s="487" t="str">
        <x:v>Profiles persist, no core action is pointer/drag/hover only, and localization cannot alter source meaning.</x:v>
      </x:c>
      <x:c r="T9" s="505" t="str">
        <x:v>Planned; production implementation closed</x:v>
      </x:c>
    </x:row>
    <x:row r="10" ht="104" customHeight="1">
      <x:c r="A10" s="516" t="n">
        <x:v>6</x:v>
      </x:c>
      <x:c r="B10" s="486" t="str">
        <x:v>PRE-06</x:v>
      </x:c>
      <x:c r="C10" s="486" t="str">
        <x:v>Engine prerequisite</x:v>
      </x:c>
      <x:c r="D10" s="486" t="str">
        <x:v>Durable media queue, provenance and publication store</x:v>
      </x:c>
      <x:c r="E10" s="486" t="str">
        <x:v>The comic grows from play without freezing play or losing trusted work.</x:v>
      </x:c>
      <x:c r="F10" s="486" t="str">
        <x:v>C3-MED-001, C3-MED-003, C3-MED-004, C3-MED-006, C3-MED-007, C3-EVT-003, C3-EVT-004</x:v>
      </x:c>
      <x:c r="G10" s="486" t="str">
        <x:v>Media coordinator + publication service</x:v>
      </x:c>
      <x:c r="H10" s="486" t="str">
        <x:v>Media/platform</x:v>
      </x:c>
      <x:c r="I10" s="486" t="str">
        <x:v>PRE-01, PRE-04, PRE-05</x:v>
      </x:c>
      <x:c r="J10" s="486" t="str">
        <x:v>Source Lock pins exact Canon Snapshot; job checkpoints and editions are immutable/versioned.</x:v>
      </x:c>
      <x:c r="K10" s="486" t="str">
        <x:v>WIP, alt text and published pages obey Reader Knowledge Ceiling.</x:v>
      </x:c>
      <x:c r="L10" s="486" t="str">
        <x:v>Accepted assets progress through named durable stages to immutable publication.</x:v>
      </x:c>
      <x:c r="M10" s="486" t="str">
        <x:v>blocked provider, missing right, QA rejection, export failure, correction/supersession</x:v>
      </x:c>
      <x:c r="N10" s="486" t="str">
        <x:v>loading, empty, stale, conflict, recovery</x:v>
      </x:c>
      <x:c r="O10" s="486" t="str">
        <x:v>Publication requires reading order, alt text, transcripts, structure and warnings.</x:v>
      </x:c>
      <x:c r="P10" s="486" t="str">
        <x:v>None unless an approved coarse category is named</x:v>
      </x:c>
      <x:c r="Q10" s="486" t="str">
        <x:v>All C3 media positives and 12 media invalid gates.</x:v>
      </x:c>
      <x:c r="R10" s="486" t="str">
        <x:v>Req: MED-001–006, AUD-001
Scn: SCN-14–16
Cmp: CMP-33–34, CMP-38</x:v>
      </x:c>
      <x:c r="S10" s="486" t="str">
        <x:v>Provider failure resumes at the nearest valid checkpoint, accepted bytes persist, and publication cannot bypass QA/provenance/rights/accessibility.</x:v>
      </x:c>
      <x:c r="T10" s="505" t="str">
        <x:v>Planned; production implementation closed</x:v>
      </x:c>
    </x:row>
    <x:row r="11" ht="104" customHeight="1">
      <x:c r="A11" s="517" t="n">
        <x:v>7</x:v>
      </x:c>
      <x:c r="B11" s="487" t="str">
        <x:v>UI-01</x:v>
      </x:c>
      <x:c r="C11" s="487" t="str">
        <x:v>Figma-free UI finalization</x:v>
      </x:c>
      <x:c r="D11" s="487" t="str">
        <x:v>Code-native tokens, primitives and component API</x:v>
      </x:c>
      <x:c r="E11" s="487" t="str">
        <x:v>Every surface feels like one mythic game system rather than a generic chatbot skin.</x:v>
      </x:c>
      <x:c r="F11" s="487" t="str">
        <x:v>COMMON-005, GEN-C1, C2-GEN-001, C3-GEN-001</x:v>
      </x:c>
      <x:c r="G11" s="487" t="str">
        <x:v>Product/design</x:v>
      </x:c>
      <x:c r="H11" s="487" t="str">
        <x:v>Frontend design system</x:v>
      </x:c>
      <x:c r="I11" s="487" t="str">
        <x:v>PRE-01, PRE-05</x:v>
      </x:c>
      <x:c r="J11" s="487" t="str">
        <x:v>Tokens and component props reference approved semantic states, not canon.</x:v>
      </x:c>
      <x:c r="K11" s="487" t="str">
        <x:v>Art never carries unique interface truth or hidden state.</x:v>
      </x:c>
      <x:c r="L11" s="487" t="str">
        <x:v>Desktop-first components render every approved state and semantic requirement.</x:v>
      </x:c>
      <x:c r="M11" s="487" t="str">
        <x:v>loading, empty, stale, conflict, recovery, reduced motion, high contrast, large text</x:v>
      </x:c>
      <x:c r="N11" s="487" t="str">
        <x:v>loading, empty, stale, conflict, recovery</x:v>
      </x:c>
      <x:c r="O11" s="487" t="str">
        <x:v>WCAG-oriented primitives, visible focus, landmarks, noncolor state and motion substitutes.</x:v>
      </x:c>
      <x:c r="P11" s="487" t="str">
        <x:v>None unless an approved coarse category is named</x:v>
      </x:c>
      <x:c r="Q11" s="487" t="str">
        <x:v>Component stories for CMP-01–40 across approved fixture states.</x:v>
      </x:c>
      <x:c r="R11" s="487" t="str">
        <x:v>Req: FND-001, ACC-001–004
Scn: SCN-01–17
Cmp: CMP-01–40</x:v>
      </x:c>
      <x:c r="S11" s="487" t="str">
        <x:v>Figma-free library documents tokens, props, states, responsive behavior and accessibility semantics for all 40 components.</x:v>
      </x:c>
      <x:c r="T11" s="505" t="str">
        <x:v>Planned; production implementation closed</x:v>
      </x:c>
    </x:row>
    <x:row r="12" ht="104" customHeight="1">
      <x:c r="A12" s="516" t="n">
        <x:v>8</x:v>
      </x:c>
      <x:c r="B12" s="486" t="str">
        <x:v>UI-02</x:v>
      </x:c>
      <x:c r="C12" s="486" t="str">
        <x:v>Figma-free UI finalization</x:v>
      </x:c>
      <x:c r="D12" s="486" t="str">
        <x:v>Final high-fidelity screen and flow set</x:v>
      </x:c>
      <x:c r="E12" s="486" t="str">
        <x:v>Players enter a world, learn progressively and retain agency without interface overload.</x:v>
      </x:c>
      <x:c r="F12" s="486" t="str">
        <x:v>API-C1, C2-API-001, C3-API-001, C3-API-002</x:v>
      </x:c>
      <x:c r="G12" s="486" t="str">
        <x:v>Product/design</x:v>
      </x:c>
      <x:c r="H12" s="486" t="str">
        <x:v>UX/UI</x:v>
      </x:c>
      <x:c r="I12" s="486" t="str">
        <x:v>UI-01</x:v>
      </x:c>
      <x:c r="J12" s="486" t="str">
        <x:v>All screens are deterministic noncanonical fixtures until implementation.</x:v>
      </x:c>
      <x:c r="K12" s="486" t="str">
        <x:v>Every screen uses viewpoint-safe fixture data and labels its boundary.</x:v>
      </x:c>
      <x:c r="L12" s="486" t="str">
        <x:v>The full desktop flow and compact capability variants cover all required scenarios.</x:v>
      </x:c>
      <x:c r="M12" s="486" t="str">
        <x:v>all public outcome classes, offline, provider failure, empty records, stale/conflict, continuation</x:v>
      </x:c>
      <x:c r="N12" s="486" t="str">
        <x:v>loading, empty, stale, conflict, recovery</x:v>
      </x:c>
      <x:c r="O12" s="486" t="str">
        <x:v>Keyboard order, headings, live regions, scale, contrast and reduced motion are specified per screen.</x:v>
      </x:c>
      <x:c r="P12" s="486" t="str">
        <x:v>None unless an approved coarse category is named</x:v>
      </x:c>
      <x:c r="Q12" s="486" t="str">
        <x:v>17 scenario walkthroughs; 40 component state reviews; visual regression baselines.</x:v>
      </x:c>
      <x:c r="R12" s="486" t="str">
        <x:v>Req: FND-001–007
Scn: SCN-01–17
Cmp: CMP-01–40</x:v>
      </x:c>
      <x:c r="S12" s="486" t="str">
        <x:v>Final mock screens, state variants and interaction notes are product-owner approved with no unresolved UX decisions.</x:v>
      </x:c>
      <x:c r="T12" s="505" t="str">
        <x:v>Planned; production implementation closed</x:v>
      </x:c>
    </x:row>
    <x:row r="13" ht="104" customHeight="1">
      <x:c r="A13" s="517" t="n">
        <x:v>9</x:v>
      </x:c>
      <x:c r="B13" s="487" t="str">
        <x:v>UI-03</x:v>
      </x:c>
      <x:c r="C13" s="487" t="str">
        <x:v>Figma-free UI finalization</x:v>
      </x:c>
      <x:c r="D13" s="487" t="str">
        <x:v>Image, icon and illustration asset pipeline</x:v>
      </x:c>
      <x:c r="E13" s="487" t="str">
        <x:v>The world is visually distinct while all mechanics remain readable without art.</x:v>
      </x:c>
      <x:c r="F13" s="487" t="str">
        <x:v>C3-MED-007, C3-MED-008, COMMON-002</x:v>
      </x:c>
      <x:c r="G13" s="487" t="str">
        <x:v>Art direction + rights</x:v>
      </x:c>
      <x:c r="H13" s="487" t="str">
        <x:v>Asset pipeline</x:v>
      </x:c>
      <x:c r="I13" s="487" t="str">
        <x:v>UI-01, UI-02</x:v>
      </x:c>
      <x:c r="J13" s="487" t="str">
        <x:v>Assets are versioned and linked to approved contexts, not canonical truth.</x:v>
      </x:c>
      <x:c r="K13" s="487" t="str">
        <x:v>Images cannot reveal hidden entities, facts or outcomes.</x:v>
      </x:c>
      <x:c r="L13" s="487" t="str">
        <x:v>Rights/provenance, fallbacks, crops and density variants are approved.</x:v>
      </x:c>
      <x:c r="M13" s="487" t="str">
        <x:v>missing asset, blocked generation, QA rejection, localization crop, reduced data</x:v>
      </x:c>
      <x:c r="N13" s="487" t="str">
        <x:v>loading, empty, stale, conflict, recovery</x:v>
      </x:c>
      <x:c r="O13" s="487" t="str">
        <x:v>Decorative/meaningful classification, alt text and non-image equivalent are defined.</x:v>
      </x:c>
      <x:c r="P13" s="487" t="str">
        <x:v>None unless an approved coarse category is named</x:v>
      </x:c>
      <x:c r="Q13" s="487" t="str">
        <x:v>Asset manifest checks; fallback visual regression; contrast and alt-text review.</x:v>
      </x:c>
      <x:c r="R13" s="487" t="str">
        <x:v>Req: KNO-001, ACC-001, MED-005
Scn: SCN-01, SCN-06, SCN-09–10, SCN-14, SCN-16
Cmp: CMP-01, CMP-09, CMP-20, CMP-29–30, CMP-33–34</x:v>
      </x:c>
      <x:c r="S13" s="487" t="str">
        <x:v>A code-consumable asset manifest contains approved files, provenance, rights, alt text, fallback and responsive usage rules; no Figma dependency exists.</x:v>
      </x:c>
      <x:c r="T13" s="505" t="str">
        <x:v>Planned; production implementation closed</x:v>
      </x:c>
    </x:row>
    <x:row r="14" ht="104" customHeight="1">
      <x:c r="A14" s="516" t="n">
        <x:v>10</x:v>
      </x:c>
      <x:c r="B14" s="486" t="str">
        <x:v>UI-04</x:v>
      </x:c>
      <x:c r="C14" s="486" t="str">
        <x:v>Figma-free UI finalization</x:v>
      </x:c>
      <x:c r="D14" s="486" t="str">
        <x:v>Frontend architecture and execution specification</x:v>
      </x:c>
      <x:c r="E14" s="486" t="str">
        <x:v>Implementation can proceed without inventing states, rules or interaction behavior.</x:v>
      </x:c>
      <x:c r="F14" s="486" t="str">
        <x:v>GEN-C1, C2-GEN-001, C3-GEN-001</x:v>
      </x:c>
      <x:c r="G14" s="486" t="str">
        <x:v>Product + architecture</x:v>
      </x:c>
      <x:c r="H14" s="486" t="str">
        <x:v>Frontend lead</x:v>
      </x:c>
      <x:c r="I14" s="486" t="str">
        <x:v>UI-01, UI-02, UI-03, PRE-01–06</x:v>
      </x:c>
      <x:c r="J14" s="486" t="str">
        <x:v>Route/loaders/stores preserve contract versions and state basis.</x:v>
      </x:c>
      <x:c r="K14" s="486" t="str">
        <x:v>Client stores contain only delivered projections; protected media audit data stays server-side.</x:v>
      </x:c>
      <x:c r="L14" s="486" t="str">
        <x:v>Routes, state machines, adapters, error boundaries and test harness are specified.</x:v>
      </x:c>
      <x:c r="M14" s="486" t="str">
        <x:v>schema drift, loading, empty, stale, conflict, offline, provider failure</x:v>
      </x:c>
      <x:c r="N14" s="486" t="str">
        <x:v>loading, empty, stale, conflict, recovery</x:v>
      </x:c>
      <x:c r="O14" s="486" t="str">
        <x:v>DOM landmarks, focus restoration, announcements and input adapters are architectural concerns.</x:v>
      </x:c>
      <x:c r="P14" s="486" t="str">
        <x:v>None unless an approved coarse category is named</x:v>
      </x:c>
      <x:c r="Q14" s="486" t="str">
        <x:v>Architecture review against all scenario/component traces and CI gates.</x:v>
      </x:c>
      <x:c r="R14" s="486" t="str">
        <x:v>Req: FND-001–007, ACC-001–004
Scn: SCN-01–17
Cmp: CMP-01–40</x:v>
      </x:c>
      <x:c r="S14" s="486" t="str">
        <x:v>A self-contained frontend spec names stack-neutral boundaries, component ownership, data flows, route/state composition, tests and build order with no open product decision.</x:v>
      </x:c>
      <x:c r="T14" s="505" t="str">
        <x:v>Planned; production implementation closed</x:v>
      </x:c>
    </x:row>
    <x:row r="15" ht="104" customHeight="1">
      <x:c r="A15" s="517" t="n">
        <x:v>11</x:v>
      </x:c>
      <x:c r="B15" s="487" t="str">
        <x:v>VS-01</x:v>
      </x:c>
      <x:c r="C15" s="487" t="str">
        <x:v>Production vertical slice</x:v>
      </x:c>
      <x:c r="D15" s="487" t="str">
        <x:v>Campaign Entry → recovery → exact Stage</x:v>
      </x:c>
      <x:c r="E15" s="487" t="str">
        <x:v>A new or returning player reaches their living world and a meaningful choice quickly.</x:v>
      </x:c>
      <x:c r="F15" s="487" t="str">
        <x:v>RM-002, RM-003, C3-ASY-001, C3-ASY-002, C3-A11Y-004</x:v>
      </x:c>
      <x:c r="G15" s="487" t="str">
        <x:v>Campaign/recovery projections</x:v>
      </x:c>
      <x:c r="H15" s="487" t="str">
        <x:v>Frontend + platform</x:v>
      </x:c>
      <x:c r="I15" s="487" t="str">
        <x:v>PRE-01–05, UI-04, Implementation authorization</x:v>
      </x:c>
      <x:c r="J15" s="487" t="str">
        <x:v>Resume uses last durable state and current permitted projection.</x:v>
      </x:c>
      <x:c r="K15" s="487" t="str">
        <x:v>Entry reveals only viewpoint-safe campaign status.</x:v>
      </x:c>
      <x:c r="L15" s="487" t="str">
        <x:v>Resume exact Stage or start after optional Issue #0 mode.</x:v>
      </x:c>
      <x:c r="M15" s="487" t="str">
        <x:v>no campaigns, offline, recovery required, Issue #0 unavailable, conflict</x:v>
      </x:c>
      <x:c r="N15" s="487" t="str">
        <x:v>loading, empty, stale, conflict, recovery</x:v>
      </x:c>
      <x:c r="O15" s="487" t="str">
        <x:v>Landmarks, keyboard entry and fallback summary.</x:v>
      </x:c>
      <x:c r="P15" s="487" t="str">
        <x:v>None unless an approved coarse category is named</x:v>
      </x:c>
      <x:c r="Q15" s="487" t="str">
        <x:v>SCN-01, SCN-03, SCN-15, SCN-17 E2E.</x:v>
      </x:c>
      <x:c r="R15" s="487" t="str">
        <x:v>Req: CHR-001, FND-001–002
Scn: SCN-01, SCN-03, SCN-15, SCN-17
Cmp: CMP-01–03, CMP-08, CMP-35–40</x:v>
      </x:c>
      <x:c r="S15" s="487" t="str">
        <x:v>Desktop-first entry/recovery flow passes timed, offline and accessible E2E with no lore or media gate.</x:v>
      </x:c>
      <x:c r="T15" s="505" t="str">
        <x:v>Planned; production implementation closed</x:v>
      </x:c>
    </x:row>
    <x:row r="16" ht="104" customHeight="1">
      <x:c r="A16" s="516" t="n">
        <x:v>12</x:v>
      </x:c>
      <x:c r="B16" s="486" t="str">
        <x:v>VS-02</x:v>
      </x:c>
      <x:c r="C16" s="486" t="str">
        <x:v>Production vertical slice</x:v>
      </x:c>
      <x:c r="D16" s="486" t="str">
        <x:v>Adaptive Living World Stage and Context Lens</x:v>
      </x:c>
      <x:c r="E16" s="486" t="str">
        <x:v>The player reads place, pressure, people and meaningful possibilities before mechanics expand.</x:v>
      </x:c>
      <x:c r="F16" s="486" t="str">
        <x:v>RM-003, RM-004, EVF-002, EVF-003, C3-ASY-003</x:v>
      </x:c>
      <x:c r="G16" s="486" t="str">
        <x:v>Stage/knowledge projections</x:v>
      </x:c>
      <x:c r="H16" s="486" t="str">
        <x:v>Frontend</x:v>
      </x:c>
      <x:c r="I16" s="486" t="str">
        <x:v>VS-01, PRE-02, UI-01</x:v>
      </x:c>
      <x:c r="J16" s="486" t="str">
        <x:v>All active modules share state and Knowledge Snapshot basis.</x:v>
      </x:c>
      <x:c r="K16" s="486" t="str">
        <x:v>Stage and Lens contain projected facts only.</x:v>
      </x:c>
      <x:c r="L16" s="486" t="str">
        <x:v>Context-adaptive Stage emphasizes the current decision without losing continuity.</x:v>
      </x:c>
      <x:c r="M16" s="486" t="str">
        <x:v>empty context, last known, disputed, urgent decision, attention notice</x:v>
      </x:c>
      <x:c r="N16" s="486" t="str">
        <x:v>loading, empty, stale, conflict, recovery</x:v>
      </x:c>
      <x:c r="O16" s="486" t="str">
        <x:v>Stable Stage region, exact speech association, markers and live updates.</x:v>
      </x:c>
      <x:c r="P16" s="486" t="str">
        <x:v>None unless an approved coarse category is named</x:v>
      </x:c>
      <x:c r="Q16" s="486" t="str">
        <x:v>SCN-06–10 and component tests CMP-03–12/18–20.</x:v>
      </x:c>
      <x:c r="R16" s="486" t="str">
        <x:v>Req: FND-001, TIM-002, KNO-001
Scn: SCN-06–10
Cmp: CMP-03–12, CMP-18–20</x:v>
      </x:c>
      <x:c r="S16" s="486" t="str">
        <x:v>Stage remains the gravitational center across exploration, harm, dialogue and investigation without dashboard or transcript behavior.</x:v>
      </x:c>
      <x:c r="T16" s="505" t="str">
        <x:v>Planned; production implementation closed</x:v>
      </x:c>
    </x:row>
    <x:row r="17" ht="104" customHeight="1">
      <x:c r="A17" s="517" t="n">
        <x:v>13</x:v>
      </x:c>
      <x:c r="B17" s="487" t="str">
        <x:v>VS-03</x:v>
      </x:c>
      <x:c r="C17" s="487" t="str">
        <x:v>Production vertical slice</x:v>
      </x:c>
      <x:c r="D17" s="487" t="str">
        <x:v>Intent → interpretation → forecast → commit → outcome → Chronicle</x:v>
      </x:c>
      <x:c r="E17" s="487" t="str">
        <x:v>Free language becomes auditable action, consequence and continuing world state.</x:v>
      </x:c>
      <x:c r="F17" s="487" t="str">
        <x:v>RM-005, RM-C1-001, RM-C1-002, CMD-001–004, RM-C1-003, C2-CHRON-001</x:v>
      </x:c>
      <x:c r="G17" s="487" t="str">
        <x:v>Interpreter/validator/reducer/Chronicle</x:v>
      </x:c>
      <x:c r="H17" s="487" t="str">
        <x:v>Frontend + engine</x:v>
      </x:c>
      <x:c r="I17" s="487" t="str">
        <x:v>VS-02, PRE-03, UI-04</x:v>
      </x:c>
      <x:c r="J17" s="487" t="str">
        <x:v>Proposal and forecast are immutable and bound to reviewed state; commit is idempotent.</x:v>
      </x:c>
      <x:c r="K17" s="487" t="str">
        <x:v>Assumptions/forecast use accessible facts only.</x:v>
      </x:c>
      <x:c r="L17" s="487" t="str">
        <x:v>Committed event produces resolution, receipt and Chronicle consequence.</x:v>
      </x:c>
      <x:c r="M17" s="487" t="str">
        <x:v>ambiguity, impossible, invalid, refused, interrupted, unavailable, replan, conflict, unknown commit</x:v>
      </x:c>
      <x:c r="N17" s="487" t="str">
        <x:v>loading, empty, stale, conflict, recovery</x:v>
      </x:c>
      <x:c r="O17" s="487" t="str">
        <x:v>Structured review, consequence acknowledgement, skippable resolution and announcement.</x:v>
      </x:c>
      <x:c r="P17" s="487" t="str">
        <x:v>None unless an approved coarse category is named</x:v>
      </x:c>
      <x:c r="Q17" s="487" t="str">
        <x:v>All C1 core-loop fixtures and SCN-04/05/11/16.</x:v>
      </x:c>
      <x:c r="R17" s="487" t="str">
        <x:v>Req: FND-001–004, TIM-005
Scn: SCN-04, SCN-05, SCN-11, SCN-16
Cmp: CMP-05–08, CMP-13–17, CMP-38–40</x:v>
      </x:c>
      <x:c r="S17" s="487" t="str">
        <x:v>One E2E slice proves the full player loop against live contract adapters before breadth work proceeds.</x:v>
      </x:c>
      <x:c r="T17" s="505" t="str">
        <x:v>Planned; production implementation closed</x:v>
      </x:c>
    </x:row>
    <x:row r="18" ht="104" customHeight="1">
      <x:c r="A18" s="516" t="n">
        <x:v>14</x:v>
      </x:c>
      <x:c r="B18" s="486" t="str">
        <x:v>VS-04</x:v>
      </x:c>
      <x:c r="C18" s="486" t="str">
        <x:v>Production vertical slice</x:v>
      </x:c>
      <x:c r="D18" s="486" t="str">
        <x:v>Character, BP, harm and continuation</x:v>
      </x:c>
      <x:c r="E18" s="486" t="str">
        <x:v>Builds, wounds, defeat and future play remain inspectable and honest.</x:v>
      </x:c>
      <x:c r="F18" s="486" t="str">
        <x:v>C2-CHAR-001–005</x:v>
      </x:c>
      <x:c r="G18" s="486" t="str">
        <x:v>Character/advancement/continuation reducers</x:v>
      </x:c>
      <x:c r="H18" s="486" t="str">
        <x:v>Frontend + engine</x:v>
      </x:c>
      <x:c r="I18" s="486" t="str">
        <x:v>VS-03</x:v>
      </x:c>
      <x:c r="J18" s="486" t="str">
        <x:v>Draft advancement is noncanonical; defeat and continuation are versioned states.</x:v>
      </x:c>
      <x:c r="K18" s="486" t="str">
        <x:v>No hidden formula or forced death classification.</x:v>
      </x:c>
      <x:c r="L18" s="486" t="str">
        <x:v>Legal advancement or selected continuation commits with provenance.</x:v>
      </x:c>
      <x:c r="M18" s="486" t="str">
        <x:v>invalid prerequisite, stale draft, zero Vitality, death, capture, afterlife, successor</x:v>
      </x:c>
      <x:c r="N18" s="486" t="str">
        <x:v>loading, empty, stale, conflict, recovery</x:v>
      </x:c>
      <x:c r="O18" s="486" t="str">
        <x:v>Ledger tables, Wound cards and continuation choices are structured.</x:v>
      </x:c>
      <x:c r="P18" s="486" t="str">
        <x:v>None unless an approved coarse category is named</x:v>
      </x:c>
      <x:c r="Q18" s="486" t="str">
        <x:v>SCN-02/03/06/12; C2 character positives and negatives.</x:v>
      </x:c>
      <x:c r="R18" s="486" t="str">
        <x:v>Req: CHR-002–005, COM-009
Scn: SCN-02, SCN-03, SCN-06, SCN-12
Cmp: CMP-21–22</x:v>
      </x:c>
      <x:c r="S18" s="486" t="str">
        <x:v>BP audit reconciles exactly and every continuation route preserves legal player choice.</x:v>
      </x:c>
      <x:c r="T18" s="505" t="str">
        <x:v>Planned; production implementation closed</x:v>
      </x:c>
    </x:row>
    <x:row r="19" ht="104" customHeight="1">
      <x:c r="A19" s="517" t="n">
        <x:v>15</x:v>
      </x:c>
      <x:c r="B19" s="487" t="str">
        <x:v>VS-05</x:v>
      </x:c>
      <x:c r="C19" s="487" t="str">
        <x:v>Production vertical slice</x:v>
      </x:c>
      <x:c r="D19" s="487" t="str">
        <x:v>Company, autonomous actors and Relics</x:v>
      </x:c>
      <x:c r="E19" s="487" t="str">
        <x:v>Relationships and mythic bonds feel alive without obedience meters or hidden-truth leakage.</x:v>
      </x:c>
      <x:c r="F19" s="487" t="str">
        <x:v>C2-COMP-001–005</x:v>
      </x:c>
      <x:c r="G19" s="487" t="str">
        <x:v>Company/actor/Relic services</x:v>
      </x:c>
      <x:c r="H19" s="487" t="str">
        <x:v>Frontend + engine</x:v>
      </x:c>
      <x:c r="I19" s="487" t="str">
        <x:v>VS-02, VS-03</x:v>
      </x:c>
      <x:c r="J19" s="487" t="str">
        <x:v>Terms, custody, Claim, Attunement and actor status version independently.</x:v>
      </x:c>
      <x:c r="K19" s="487" t="str">
        <x:v>Private motive, exact hidden Bond and lie truth remain omitted.</x:v>
      </x:c>
      <x:c r="L19" s="487" t="str">
        <x:v>Recruitment, negotiation, access or autonomous response updates permitted projections.</x:v>
      </x:c>
      <x:c r="M19" s="487" t="str">
        <x:v>refusal, counteroffer, departure, inaccessible function, custody conflict</x:v>
      </x:c>
      <x:c r="N19" s="487" t="str">
        <x:v>loading, empty, stale, conflict, recovery</x:v>
      </x:c>
      <x:c r="O19" s="487" t="str">
        <x:v>Exact speech, terms, boundaries and alternatives are structurally associated.</x:v>
      </x:c>
      <x:c r="P19" s="487" t="str">
        <x:v>None unless an approved coarse category is named</x:v>
      </x:c>
      <x:c r="Q19" s="487" t="str">
        <x:v>SCN-07/08; actor/relic leakage gates.</x:v>
      </x:c>
      <x:c r="R19" s="487" t="str">
        <x:v>Req: PTY-003–007, REL-002–004
Scn: SCN-07, SCN-08
Cmp: CMP-04, CMP-10, CMP-23–24</x:v>
      </x:c>
      <x:c r="S19" s="487" t="str">
        <x:v>Autonomous refusal and Relic negotiation pass without coercive UI or hidden inference.</x:v>
      </x:c>
      <x:c r="T19" s="505" t="str">
        <x:v>Planned; production implementation closed</x:v>
      </x:c>
    </x:row>
    <x:row r="20" ht="104" customHeight="1">
      <x:c r="A20" s="516" t="n">
        <x:v>16</x:v>
      </x:c>
      <x:c r="B20" s="486" t="str">
        <x:v>VS-06</x:v>
      </x:c>
      <x:c r="C20" s="486" t="str">
        <x:v>Production vertical slice</x:v>
      </x:c>
      <x:c r="D20" s="486" t="str">
        <x:v>Holdings, custody and projects</x:v>
      </x:c>
      <x:c r="E20" s="486" t="str">
        <x:v>Ownership, access, item tradeoffs and long work stay concrete and durable.</x:v>
      </x:c>
      <x:c r="F20" s="486" t="str">
        <x:v>C2-HOLD-001–005</x:v>
      </x:c>
      <x:c r="G20" s="486" t="str">
        <x:v>Holdings/project reducers</x:v>
      </x:c>
      <x:c r="H20" s="486" t="str">
        <x:v>Frontend + engine</x:v>
      </x:c>
      <x:c r="I20" s="486" t="str">
        <x:v>VS-03, PRE-04</x:v>
      </x:c>
      <x:c r="J20" s="486" t="str">
        <x:v>Custody and project checkpoints use exact state and interval versions.</x:v>
      </x:c>
      <x:c r="K20" s="486" t="str">
        <x:v>Comparison uses known task facts; access never implies ownership.</x:v>
      </x:c>
      <x:c r="L20" s="486" t="str">
        <x:v>Authorized transfer or committed interval updates durable records.</x:v>
      </x:c>
      <x:c r="M20" s="486" t="str">
        <x:v>no authority, missing material, facility unavailable, interrupted interval, stale custody</x:v>
      </x:c>
      <x:c r="N20" s="486" t="str">
        <x:v>loading, empty, stale, conflict, recovery</x:v>
      </x:c>
      <x:c r="O20" s="486" t="str">
        <x:v>Comparison tables and plan checkpoints have headers, status and recovery.</x:v>
      </x:c>
      <x:c r="P20" s="486" t="str">
        <x:v>None unless an approved coarse category is named</x:v>
      </x:c>
      <x:c r="Q20" s="486" t="str">
        <x:v>Holdings/project/custody fixtures; SCN-04/06/13.</x:v>
      </x:c>
      <x:c r="R20" s="486" t="str">
        <x:v>Req: INV-002, TIM-004–005
Scn: SCN-04, SCN-06, SCN-13
Cmp: CMP-25–27</x:v>
      </x:c>
      <x:c r="S20" s="486" t="str">
        <x:v>Item access and project resource movement reconcile with committed events and persist across recovery.</x:v>
      </x:c>
      <x:c r="T20" s="505" t="str">
        <x:v>Planned; production implementation closed</x:v>
      </x:c>
    </x:row>
    <x:row r="21" ht="104" customHeight="1">
      <x:c r="A21" s="517" t="n">
        <x:v>17</x:v>
      </x:c>
      <x:c r="B21" s="487" t="str">
        <x:v>VS-07</x:v>
      </x:c>
      <x:c r="C21" s="487" t="str">
        <x:v>Production vertical slice</x:v>
      </x:c>
      <x:c r="D21" s="487" t="str">
        <x:v>World, travel, Sites, evidence, Fronts and law</x:v>
      </x:c>
      <x:c r="E21" s="487" t="str">
        <x:v>The world remains explorable, uncertain and persistent beyond the protagonist.</x:v>
      </x:c>
      <x:c r="F21" s="487" t="str">
        <x:v>C2-WORLD-001–007, C2-CHRON-001–002</x:v>
      </x:c>
      <x:c r="G21" s="487" t="str">
        <x:v>World/travel/case/Front/legal reducers</x:v>
      </x:c>
      <x:c r="H21" s="487" t="str">
        <x:v>Frontend + engine</x:v>
      </x:c>
      <x:c r="I21" s="487" t="str">
        <x:v>VS-02, VS-03, PRE-02, PRE-04</x:v>
      </x:c>
      <x:c r="J21" s="487" t="str">
        <x:v>Journey intervals and world records advance through Ledger Time events.</x:v>
      </x:c>
      <x:c r="K21" s="487" t="str">
        <x:v>Exact lost coordinates, Site feature counts and secret Front clocks remain omitted.</x:v>
      </x:c>
      <x:c r="L21" s="487" t="str">
        <x:v>Travel/search/action creates durable routed world consequences.</x:v>
      </x:c>
      <x:c r="M21" s="487" t="str">
        <x:v>lost, unknown route, destroyed connection, evidence contradiction, jurisdiction unavailable, Front attention</x:v>
      </x:c>
      <x:c r="N21" s="487" t="str">
        <x:v>loading, empty, stale, conflict, recovery</x:v>
      </x:c>
      <x:c r="O21" s="487" t="str">
        <x:v>Map alternatives, route lists, evidence graphs and legal records are navigable.</x:v>
      </x:c>
      <x:c r="P21" s="487" t="str">
        <x:v>None unless an approved coarse category is named</x:v>
      </x:c>
      <x:c r="Q21" s="487" t="str">
        <x:v>SCN-09–11/13; all C2 world leakage canaries.</x:v>
      </x:c>
      <x:c r="R21" s="487" t="str">
        <x:v>Req: TRV-002, EXP-004–007, WLD-001–006
Scn: SCN-09, SCN-10, SCN-11, SCN-13
Cmp: CMP-28–32</x:v>
      </x:c>
      <x:c r="S21" s="487" t="str">
        <x:v>World state persists after travel and destruction while player-facing knowledge stays evidence-bound.</x:v>
      </x:c>
      <x:c r="T21" s="505" t="str">
        <x:v>Planned; production implementation closed</x:v>
      </x:c>
    </x:row>
    <x:row r="22" ht="104" customHeight="1">
      <x:c r="A22" s="516" t="n">
        <x:v>18</x:v>
      </x:c>
      <x:c r="B22" s="486" t="str">
        <x:v>VS-08</x:v>
      </x:c>
      <x:c r="C22" s="486" t="str">
        <x:v>Production vertical slice</x:v>
      </x:c>
      <x:c r="D22" s="486" t="str">
        <x:v>Async attention and return context</x:v>
      </x:c>
      <x:c r="E22" s="486" t="str">
        <x:v>A living world stays legible after time away without notification spam or omniscience.</x:v>
      </x:c>
      <x:c r="F22" s="486" t="str">
        <x:v>C3-ASY-003, C3-EVT-001, C2-WORLD-005, C2-WORLD-007</x:v>
      </x:c>
      <x:c r="G22" s="486" t="str">
        <x:v>Attention projection</x:v>
      </x:c>
      <x:c r="H22" s="486" t="str">
        <x:v>Frontend + engine</x:v>
      </x:c>
      <x:c r="I22" s="486" t="str">
        <x:v>PRE-04, VS-07</x:v>
      </x:c>
      <x:c r="J22" s="486" t="str">
        <x:v>Digest windows use delivered ordered events and current viewpoint.</x:v>
      </x:c>
      <x:c r="K22" s="486" t="str">
        <x:v>Only delivered facts may be summarized.</x:v>
      </x:c>
      <x:c r="L22" s="486" t="str">
        <x:v>Grouped digest points to Chronicle or affected surface.</x:v>
      </x:c>
      <x:c r="M22" s="486" t="str">
        <x:v>no attention, blocking, urgent, notable, ambient, stale target</x:v>
      </x:c>
      <x:c r="N22" s="486" t="str">
        <x:v>loading, empty, stale, conflict, recovery</x:v>
      </x:c>
      <x:c r="O22" s="486" t="str">
        <x:v>Grouped/essential/detailed live-update modes and action-needed labels.</x:v>
      </x:c>
      <x:c r="P22" s="486" t="str">
        <x:v>None unless an approved coarse category is named</x:v>
      </x:c>
      <x:c r="Q22" s="486" t="str">
        <x:v>Attention positive plus undelivered-fact negative; SCN-13/16.</x:v>
      </x:c>
      <x:c r="R22" s="486" t="str">
        <x:v>Req: GAP-005, ACC-001
Scn: SCN-13, SCN-16
Cmp: CMP-07, CMP-19, CMP-31, CMP-40</x:v>
      </x:c>
      <x:c r="S22" s="486" t="str">
        <x:v>A player can return after simulated offscreen events and understand only delivered consequences and next actions.</x:v>
      </x:c>
      <x:c r="T22" s="505" t="str">
        <x:v>Planned; production implementation closed</x:v>
      </x:c>
    </x:row>
    <x:row r="23" ht="104" customHeight="1">
      <x:c r="A23" s="517" t="n">
        <x:v>19</x:v>
      </x:c>
      <x:c r="B23" s="487" t="str">
        <x:v>VS-09</x:v>
      </x:c>
      <x:c r="C23" s="487" t="str">
        <x:v>Production vertical slice</x:v>
      </x:c>
      <x:c r="D23" s="487" t="str">
        <x:v>Comic capture, Inflection, Source Lock and job queue</x:v>
      </x:c>
      <x:c r="E23" s="487" t="str">
        <x:v>Comic production begins from real play while the campaign continues uninterrupted.</x:v>
      </x:c>
      <x:c r="F23" s="487" t="str">
        <x:v>C3-MED-001–004, C3-CMD-003–005, C3-EVT-003–004</x:v>
      </x:c>
      <x:c r="G23" s="487" t="str">
        <x:v>Capture/media coordinator</x:v>
      </x:c>
      <x:c r="H23" s="487" t="str">
        <x:v>Media + frontend</x:v>
      </x:c>
      <x:c r="I23" s="487" t="str">
        <x:v>PRE-06, VS-03, UI-03</x:v>
      </x:c>
      <x:c r="J23" s="487" t="str">
        <x:v>Capture and Source Lock reference committed event ranges and exact Canon Snapshot.</x:v>
      </x:c>
      <x:c r="K23" s="487" t="str">
        <x:v>Selected viewpoint and Reader Knowledge Ceiling constrain all work.</x:v>
      </x:c>
      <x:c r="L23" s="487" t="str">
        <x:v>Deferred/reviewed Source Lock starts a resumable staged job.</x:v>
      </x:c>
      <x:c r="M23" s="487" t="str">
        <x:v>no eligible beats, review deferred, provider blocked, missing right, checkpoint recovery</x:v>
      </x:c>
      <x:c r="N23" s="487" t="str">
        <x:v>loading, empty, stale, conflict, recovery</x:v>
      </x:c>
      <x:c r="O23" s="487" t="str">
        <x:v>Review choices, stage status, blockers and recovery are structured.</x:v>
      </x:c>
      <x:c r="P23" s="487" t="str">
        <x:v>None unless an approved coarse category is named</x:v>
      </x:c>
      <x:c r="Q23" s="487" t="str">
        <x:v>Capture/lock/job fixtures and canon-freeze/percentage/ETA/queue-loss negatives.</x:v>
      </x:c>
      <x:c r="R23" s="487" t="str">
        <x:v>Req: MED-001–004
Scn: SCN-14
Cmp: CMP-33, CMP-38</x:v>
      </x:c>
      <x:c r="S23" s="487" t="str">
        <x:v>Capture cost remains lightweight, Source Lock cannot pause play, and job recovery preserves accepted work.</x:v>
      </x:c>
      <x:c r="T23" s="505" t="str">
        <x:v>Planned; production implementation closed</x:v>
      </x:c>
    </x:row>
    <x:row r="24" ht="104" customHeight="1">
      <x:c r="A24" s="516" t="n">
        <x:v>20</x:v>
      </x:c>
      <x:c r="B24" s="486" t="str">
        <x:v>VS-10</x:v>
      </x:c>
      <x:c r="C24" s="486" t="str">
        <x:v>Production vertical slice</x:v>
      </x:c>
      <x:c r="D24" s="486" t="str">
        <x:v>Comic QA, reader, editions and corrections</x:v>
      </x:c>
      <x:c r="E24" s="486" t="str">
        <x:v>Players receive an accessible, provenance-backed comic with trustworthy edition history.</x:v>
      </x:c>
      <x:c r="F24" s="486" t="str">
        <x:v>C3-MED-005–008, C3-CMD-006, C3-EVT-004</x:v>
      </x:c>
      <x:c r="G24" s="486" t="str">
        <x:v>QA/publication services</x:v>
      </x:c>
      <x:c r="H24" s="486" t="str">
        <x:v>Media + frontend</x:v>
      </x:c>
      <x:c r="I24" s="486" t="str">
        <x:v>VS-09, PRE-05, PRE-06</x:v>
      </x:c>
      <x:c r="J24" s="486" t="str">
        <x:v>Published editions and accepted assets are immutable; corrections supersede.</x:v>
      </x:c>
      <x:c r="K24" s="486" t="str">
        <x:v>WIP requires opt-in and all content remains below Reader Knowledge Ceiling.</x:v>
      </x:c>
      <x:c r="L24" s="486" t="str">
        <x:v>QA-approved accessible edition publishes with provenance and rights.</x:v>
      </x:c>
      <x:c r="M24" s="486" t="str">
        <x:v>WIP disabled, QA failed, knowledge ceiling violation, export blocked, correction requested</x:v>
      </x:c>
      <x:c r="N24" s="486" t="str">
        <x:v>loading, empty, stale, conflict, recovery</x:v>
      </x:c>
      <x:c r="O24" s="486" t="str">
        <x:v>Reading order, page/panel alt text, transcripts, navigation and warnings.</x:v>
      </x:c>
      <x:c r="P24" s="486" t="str">
        <x:v>None unless an approved coarse category is named</x:v>
      </x:c>
      <x:c r="Q24" s="486" t="str">
        <x:v>Reader/publication positives plus WIP/QA/overwrite/retained-bytes negatives.</x:v>
      </x:c>
      <x:c r="R24" s="486" t="str">
        <x:v>Req: MED-005–006, AUD-001
Scn: SCN-14–16
Cmp: CMP-34, CMP-36–38</x:v>
      </x:c>
      <x:c r="S24" s="486" t="str">
        <x:v>Publication hard gates cannot be bypassed and a correction creates a traceable superseding edition.</x:v>
      </x:c>
      <x:c r="T24" s="505" t="str">
        <x:v>Planned; production implementation closed</x:v>
      </x:c>
    </x:row>
    <x:row r="25" ht="104" customHeight="1">
      <x:c r="A25" s="517" t="n">
        <x:v>21</x:v>
      </x:c>
      <x:c r="B25" s="487" t="str">
        <x:v>VS-11</x:v>
      </x:c>
      <x:c r="C25" s="487" t="str">
        <x:v>Production vertical slice</x:v>
      </x:c>
      <x:c r="D25" s="487" t="str">
        <x:v>Settings, accessibility, content controls and localization</x:v>
      </x:c>
      <x:c r="E25" s="487" t="str">
        <x:v>Players can shape presentation and input while mechanics and canon remain unchanged.</x:v>
      </x:c>
      <x:c r="F25" s="487" t="str">
        <x:v>COMMON-005, C3-A11Y-001–004, C3-CMD-002, C3-EVT-002</x:v>
      </x:c>
      <x:c r="G25" s="487" t="str">
        <x:v>Preference/localization services</x:v>
      </x:c>
      <x:c r="H25" s="487" t="str">
        <x:v>Frontend + platform</x:v>
      </x:c>
      <x:c r="I25" s="487" t="str">
        <x:v>PRE-05, UI-01, VS-01</x:v>
      </x:c>
      <x:c r="J25" s="487" t="str">
        <x:v>Profile receipts and events reconcile before persistence.</x:v>
      </x:c>
      <x:c r="K25" s="487" t="str">
        <x:v>Lines/Veils are explicit and localization cannot add knowledge.</x:v>
      </x:c>
      <x:c r="L25" s="487" t="str">
        <x:v>Confirmed setting applies consistently across play and comics.</x:v>
      </x:c>
      <x:c r="M25" s="487" t="str">
        <x:v>unsupported input, profile conflict, missing glyph, fallback locale, Issue #0 unavailable</x:v>
      </x:c>
      <x:c r="N25" s="487" t="str">
        <x:v>loading, empty, stale, conflict, recovery</x:v>
      </x:c>
      <x:c r="O25" s="487" t="str">
        <x:v>All profile controls themselves meet keyboard, SR, noncolor and reduced-motion requirements.</x:v>
      </x:c>
      <x:c r="P25" s="487" t="str">
        <x:v>None unless an approved coarse category is named</x:v>
      </x:c>
      <x:c r="Q25" s="487" t="str">
        <x:v>SCN-15–17 and all accessibility/content/localization fixtures.</x:v>
      </x:c>
      <x:c r="R25" s="487" t="str">
        <x:v>Req: ACC-001–004, ONB-001
Scn: SCN-15, SCN-16, SCN-17
Cmp: CMP-35–40</x:v>
      </x:c>
      <x:c r="S25" s="487" t="str">
        <x:v>Core loop passes keyboard, SR, switch, voice, 200% zoom, forced-colors, reduced-motion and pseudo-locale suites.</x:v>
      </x:c>
      <x:c r="T25" s="505" t="str">
        <x:v>Planned; production implementation closed</x:v>
      </x:c>
    </x:row>
    <x:row r="26" ht="104" customHeight="1">
      <x:c r="A26" s="516" t="n">
        <x:v>22</x:v>
      </x:c>
      <x:c r="B26" s="486" t="str">
        <x:v>QA-01</x:v>
      </x:c>
      <x:c r="C26" s="486" t="str">
        <x:v>Validation</x:v>
      </x:c>
      <x:c r="D26" s="486" t="str">
        <x:v>Contract and 17-scenario end-to-end suite</x:v>
      </x:c>
      <x:c r="E26" s="486" t="str">
        <x:v>Every promised experience branch is protected against regression.</x:v>
      </x:c>
      <x:c r="F26" s="486" t="str">
        <x:v>API-C1, ASYNC-C1, C2-API-001, C2-ASYNC-001, C3-API-001, C3-API-002</x:v>
      </x:c>
      <x:c r="G26" s="486" t="str">
        <x:v>Quality engineering</x:v>
      </x:c>
      <x:c r="H26" s="486" t="str">
        <x:v>QA + engineering</x:v>
      </x:c>
      <x:c r="I26" s="486" t="str">
        <x:v>VS-01–11</x:v>
      </x:c>
      <x:c r="J26" s="486" t="str">
        <x:v>Deterministic fixture campaigns pin schema/state versions.</x:v>
      </x:c>
      <x:c r="K26" s="486" t="str">
        <x:v>Leakage canaries run in every relevant scenario.</x:v>
      </x:c>
      <x:c r="L26" s="486" t="str">
        <x:v>All 17 scenarios pass expected contract, UI and persistence assertions.</x:v>
      </x:c>
      <x:c r="M26" s="486" t="str">
        <x:v>every approved public outcome and recovery class</x:v>
      </x:c>
      <x:c r="N26" s="486" t="str">
        <x:v>loading, empty, stale, conflict, recovery</x:v>
      </x:c>
      <x:c r="O26" s="486" t="str">
        <x:v>Automated semantics plus manual/AT steps are first-class results.</x:v>
      </x:c>
      <x:c r="P26" s="486" t="str">
        <x:v>None unless an approved coarse category is named</x:v>
      </x:c>
      <x:c r="Q26" s="486" t="str">
        <x:v>127 contract fixtures plus scenario_traceability.json release tests.</x:v>
      </x:c>
      <x:c r="R26" s="486" t="str">
        <x:v>Req: All approved requirements
Scn: SCN-01–17
Cmp: CMP-01–40</x:v>
      </x:c>
      <x:c r="S26" s="486" t="str">
        <x:v>CI publishes traceable results for every scenario, contract, fixture and affected component with zero blocking failures.</x:v>
      </x:c>
      <x:c r="T26" s="505" t="str">
        <x:v>Planned; production implementation closed</x:v>
      </x:c>
    </x:row>
    <x:row r="27" ht="104" customHeight="1">
      <x:c r="A27" s="517" t="n">
        <x:v>23</x:v>
      </x:c>
      <x:c r="B27" s="487" t="str">
        <x:v>QA-02</x:v>
      </x:c>
      <x:c r="C27" s="487" t="str">
        <x:v>Validation</x:v>
      </x:c>
      <x:c r="D27" s="487" t="str">
        <x:v>Accessibility, localization, device and visual validation</x:v>
      </x:c>
      <x:c r="E27" s="487" t="str">
        <x:v>The game remains understandable and playable across approved presentation variants.</x:v>
      </x:c>
      <x:c r="F27" s="487" t="str">
        <x:v>COMMON-005, C3-A11Y-001–003, C3-MED-008</x:v>
      </x:c>
      <x:c r="G27" s="487" t="str">
        <x:v>Accessibility/localization QA</x:v>
      </x:c>
      <x:c r="H27" s="487" t="str">
        <x:v>QA + design + frontend</x:v>
      </x:c>
      <x:c r="I27" s="487" t="str">
        <x:v>UI-02, UI-03, VS-11</x:v>
      </x:c>
      <x:c r="J27" s="487" t="str">
        <x:v>Presentation variants use the same canonical fixture state.</x:v>
      </x:c>
      <x:c r="K27" s="487" t="str">
        <x:v>Alt text, localization and screenshots obey the same knowledge ceiling.</x:v>
      </x:c>
      <x:c r="L27" s="487" t="str">
        <x:v>Desktop reference and compact capability variants pass the matrix.</x:v>
      </x:c>
      <x:c r="M27" s="487" t="str">
        <x:v>200% zoom, forced colors, reduced motion, long strings, RTL, screen reader, switch, voice</x:v>
      </x:c>
      <x:c r="N27" s="487" t="str">
        <x:v>loading, empty, stale, conflict, recovery</x:v>
      </x:c>
      <x:c r="O27" s="487" t="str">
        <x:v>This item is the human/AT acceptance boundary, not just automated checks.</x:v>
      </x:c>
      <x:c r="P27" s="487" t="str">
        <x:v>None unless an approved coarse category is named</x:v>
      </x:c>
      <x:c r="Q27" s="487" t="str">
        <x:v>Browser matrix, AT sessions, pseudo-locales, visual regression and asset fallbacks.</x:v>
      </x:c>
      <x:c r="R27" s="487" t="str">
        <x:v>Req: ACC-001–004
Scn: SCN-01, SCN-06, SCN-14–17
Cmp: CMP-01–40</x:v>
      </x:c>
      <x:c r="S27" s="487" t="str">
        <x:v>Blocking issues are closed with evidence from target browsers, keyboard, screen reader, switch/voice probes, zoom, contrast and locale variants.</x:v>
      </x:c>
      <x:c r="T27" s="505" t="str">
        <x:v>Planned; production implementation closed</x:v>
      </x:c>
    </x:row>
    <x:row r="28" ht="104" customHeight="1">
      <x:c r="A28" s="518" t="n">
        <x:v>24</x:v>
      </x:c>
      <x:c r="B28" s="507" t="str">
        <x:v>REL-01</x:v>
      </x:c>
      <x:c r="C28" s="507" t="str">
        <x:v>Release and handoff</x:v>
      </x:c>
      <x:c r="D28" s="507" t="str">
        <x:v>Production readiness gate and new-session Codex execution package</x:v>
      </x:c>
      <x:c r="E28" s="507" t="str">
        <x:v>Engineering starts from a complete, testable and decision-closed specification.</x:v>
      </x:c>
      <x:c r="F28" s="507" t="str">
        <x:v>C1–C4 controlled packages</x:v>
      </x:c>
      <x:c r="G28" s="507" t="str">
        <x:v>Product owner + technical lead</x:v>
      </x:c>
      <x:c r="H28" s="507" t="str">
        <x:v>Release coordinator</x:v>
      </x:c>
      <x:c r="I28" s="507" t="str">
        <x:v>PRE-01–06, UI-01–04, QA-01–02, C4 approval, Implementation authorization</x:v>
      </x:c>
      <x:c r="J28" s="507" t="str">
        <x:v>All approved artifacts carry frozen versions and checksums.</x:v>
      </x:c>
      <x:c r="K28" s="507" t="str">
        <x:v>The handoff includes no secrets, private campaign data or hidden-canon fixtures.</x:v>
      </x:c>
      <x:c r="L28" s="507" t="str">
        <x:v>A clean Codex session can execute the ordered build with explicit acceptance checks.</x:v>
      </x:c>
      <x:c r="M28" s="507" t="str">
        <x:v>open product decision, missing asset right, schema drift, failed gate, unverified UI state</x:v>
      </x:c>
      <x:c r="N28" s="507" t="str">
        <x:v>loading, empty, stale, conflict, recovery</x:v>
      </x:c>
      <x:c r="O28" s="507" t="str">
        <x:v>Accessibility acceptance and test ownership are included in definition of done.</x:v>
      </x:c>
      <x:c r="P28" s="507" t="str">
        <x:v>Release metadata only</x:v>
      </x:c>
      <x:c r="Q28" s="507" t="str">
        <x:v>All CI/release gates and checksum manifest.</x:v>
      </x:c>
      <x:c r="R28" s="507" t="str">
        <x:v>Req: All approved planning and pre-engineering requirements
Scn: SCN-01–17
Cmp: CMP-01–40</x:v>
      </x:c>
      <x:c r="S28" s="507" t="str">
        <x:v>The handoff prompt, dependency map, build order, acceptance checklist, assets, mock screens, component library and contract packages are self-contained and contain no unresolved product decision.</x:v>
      </x:c>
      <x:c r="T28" s="506" t="str">
        <x:v>Planned; production implementation closed</x:v>
      </x:c>
    </x:row>
  </x:sheetData>
  <x:mergeCells>
    <x:mergeCell ref="A1:T1"/>
    <x:mergeCell ref="A2:T2"/>
  </x:mergeCells>
  <x:pageMargins left="0.7" right="0.7" top="0.75" bottom="0.75" header="0.3" footer="0.3"/>
  <x:tableParts count="1">
    <x:tablePart xmlns:r="http://schemas.openxmlformats.org/officeDocument/2006/relationships" r:id="R1ab61975f42a4abd"/>
  </x:tableParts>
</x:worksheet>
</file>

<file path=xl/worksheets/sheet25.xml><?xml version="1.0" encoding="utf-8"?>
<x:worksheet xmlns:x="http://schemas.openxmlformats.org/spreadsheetml/2006/main">
  <x:sheetViews>
    <x:sheetView showGridLines="0" workbookViewId="0"/>
  </x:sheetViews>
  <x:sheetFormatPr defaultRowHeight="15"/>
  <x:cols>
    <x:col min="1" max="1" width="13" hidden="0" customWidth="1"/>
    <x:col min="2" max="2" width="28" hidden="0" customWidth="1"/>
    <x:col min="3" max="3" width="43" hidden="0" customWidth="1"/>
    <x:col min="4" max="4" width="41" hidden="0" customWidth="1"/>
    <x:col min="5" max="5" width="38" hidden="0" customWidth="1"/>
    <x:col min="6" max="6" width="33" hidden="0" customWidth="1"/>
    <x:col min="7" max="7" width="66" hidden="0" customWidth="1"/>
  </x:cols>
  <x:sheetData>
    <x:row r="1">
      <x:c r="A1" s="424" t="str">
        <x:v>CHECKPOINT C4 • ENGINE PREREQUISITE + FRONTEND SLICE DEPENDENCY MAP</x:v>
      </x:c>
      <x:c r="B1" s="424" t="str">
        <x:v>CHECKPOINT C4 • ENGINE PREREQUISITE + FRONTEND SLICE DEPENDENCY MAP</x:v>
      </x:c>
      <x:c r="C1" s="424" t="str">
        <x:v>CHECKPOINT C4 • ENGINE PREREQUISITE + FRONTEND SLICE DEPENDENCY MAP</x:v>
      </x:c>
      <x:c r="D1" s="424" t="str">
        <x:v>CHECKPOINT C4 • ENGINE PREREQUISITE + FRONTEND SLICE DEPENDENCY MAP</x:v>
      </x:c>
      <x:c r="E1" s="424" t="str">
        <x:v>CHECKPOINT C4 • ENGINE PREREQUISITE + FRONTEND SLICE DEPENDENCY MAP</x:v>
      </x:c>
      <x:c r="F1" s="424" t="str">
        <x:v>CHECKPOINT C4 • ENGINE PREREQUISITE + FRONTEND SLICE DEPENDENCY MAP</x:v>
      </x:c>
      <x:c r="G1" s="424" t="str">
        <x:v>CHECKPOINT C4 • ENGINE PREREQUISITE + FRONTEND SLICE DEPENDENCY MAP</x:v>
      </x:c>
    </x:row>
    <x:row r="2">
      <x:c r="A2" s="428" t="str">
        <x:v>A capability unlocks only when its authority boundary, implementation owner and definition of done are explicit</x:v>
      </x:c>
      <x:c r="B2" s="428" t="str">
        <x:v>A capability unlocks only when its authority boundary, implementation owner and definition of done are explicit</x:v>
      </x:c>
      <x:c r="C2" s="428" t="str">
        <x:v>A capability unlocks only when its authority boundary, implementation owner and definition of done are explicit</x:v>
      </x:c>
      <x:c r="D2" s="428" t="str">
        <x:v>A capability unlocks only when its authority boundary, implementation owner and definition of done are explicit</x:v>
      </x:c>
      <x:c r="E2" s="428" t="str">
        <x:v>A capability unlocks only when its authority boundary, implementation owner and definition of done are explicit</x:v>
      </x:c>
      <x:c r="F2" s="428" t="str">
        <x:v>A capability unlocks only when its authority boundary, implementation owner and definition of done are explicit</x:v>
      </x:c>
      <x:c r="G2" s="428" t="str">
        <x:v>A capability unlocks only when its authority boundary, implementation owner and definition of done are explicit</x:v>
      </x:c>
    </x:row>
    <x:row r="4">
      <x:c r="A4" s="483" t="str">
        <x:v>Node</x:v>
      </x:c>
      <x:c r="B4" s="484" t="str">
        <x:v>Type</x:v>
      </x:c>
      <x:c r="C4" s="484" t="str">
        <x:v>Capability</x:v>
      </x:c>
      <x:c r="D4" s="484" t="str">
        <x:v>Depends On</x:v>
      </x:c>
      <x:c r="E4" s="484" t="str">
        <x:v>Authority Boundary</x:v>
      </x:c>
      <x:c r="F4" s="484" t="str">
        <x:v>Implementation Owner</x:v>
      </x:c>
      <x:c r="G4" s="485" t="str">
        <x:v>Unlock Condition</x:v>
      </x:c>
    </x:row>
    <x:row r="5" ht="84" customHeight="1">
      <x:c r="A5" s="457" t="str">
        <x:v>PRE-01</x:v>
      </x:c>
      <x:c r="B5" s="457" t="str">
        <x:v>Engine prerequisite</x:v>
      </x:c>
      <x:c r="C5" s="457" t="str">
        <x:v>Schema generation and runtime validation</x:v>
      </x:c>
      <x:c r="D5" s="457" t="str">
        <x:v>None</x:v>
      </x:c>
      <x:c r="E5" s="457" t="str">
        <x:v>Build system</x:v>
      </x:c>
      <x:c r="F5" s="457" t="str">
        <x:v>Platform</x:v>
      </x:c>
      <x:c r="G5" s="457" t="str">
        <x:v>A deterministic generator is selected; clean generation creates no diff; runtime validation rejects all approved negative fixtures.</x:v>
      </x:c>
    </x:row>
    <x:row r="6" ht="84" customHeight="1">
      <x:c r="A6" s="486" t="str">
        <x:v>PRE-02</x:v>
      </x:c>
      <x:c r="B6" s="486" t="str">
        <x:v>Engine prerequisite</x:v>
      </x:c>
      <x:c r="C6" s="486" t="str">
        <x:v>Viewpoint-safe projection gateway</x:v>
      </x:c>
      <x:c r="D6" s="486" t="str">
        <x:v>PRE-01</x:v>
      </x:c>
      <x:c r="E6" s="486" t="str">
        <x:v>Knowledge projection</x:v>
      </x:c>
      <x:c r="F6" s="486" t="str">
        <x:v>Engine/platform</x:v>
      </x:c>
      <x:c r="G6" s="486" t="str">
        <x:v>Leakage canaries fail closed and every projection names freshness and permitted actions.</x:v>
      </x:c>
    </x:row>
    <x:row r="7" ht="84" customHeight="1">
      <x:c r="A7" s="487" t="str">
        <x:v>PRE-03</x:v>
      </x:c>
      <x:c r="B7" s="487" t="str">
        <x:v>Engine prerequisite</x:v>
      </x:c>
      <x:c r="C7" s="487" t="str">
        <x:v>Idempotent command gateway and receipt lookup</x:v>
      </x:c>
      <x:c r="D7" s="487" t="str">
        <x:v>PRE-01, PRE-02</x:v>
      </x:c>
      <x:c r="E7" s="487" t="str">
        <x:v>Command gateway + reducer</x:v>
      </x:c>
      <x:c r="F7" s="487" t="str">
        <x:v>Engine/platform</x:v>
      </x:c>
      <x:c r="G7" s="487" t="str">
        <x:v>Repeated idempotency keys cannot duplicate mutation; unknown commit resolves before retry.</x:v>
      </x:c>
    </x:row>
    <x:row r="8" ht="84" customHeight="1">
      <x:c r="A8" s="486" t="str">
        <x:v>PRE-04</x:v>
      </x:c>
      <x:c r="B8" s="486" t="str">
        <x:v>Engine prerequisite</x:v>
      </x:c>
      <x:c r="C8" s="486" t="str">
        <x:v>Ordered event stream, durable save and reconnect</x:v>
      </x:c>
      <x:c r="D8" s="486" t="str">
        <x:v>PRE-01, PRE-03</x:v>
      </x:c>
      <x:c r="E8" s="486" t="str">
        <x:v>Event stream + recovery coordinator</x:v>
      </x:c>
      <x:c r="F8" s="486" t="str">
        <x:v>Platform</x:v>
      </x:c>
      <x:c r="G8" s="486" t="str">
        <x:v>Cold restart and simulated disconnect preserve checkpoint, draft, queue, capture and Source Lock without duplicate events.</x:v>
      </x:c>
    </x:row>
    <x:row r="9" ht="84" customHeight="1">
      <x:c r="A9" s="487" t="str">
        <x:v>PRE-05</x:v>
      </x:c>
      <x:c r="B9" s="487" t="str">
        <x:v>Engine prerequisite</x:v>
      </x:c>
      <x:c r="C9" s="487" t="str">
        <x:v>Accessibility, content-control and localization services</x:v>
      </x:c>
      <x:c r="D9" s="487" t="str">
        <x:v>PRE-01, PRE-02</x:v>
      </x:c>
      <x:c r="E9" s="487" t="str">
        <x:v>Preference/localization services</x:v>
      </x:c>
      <x:c r="F9" s="487" t="str">
        <x:v>Platform + accessibility</x:v>
      </x:c>
      <x:c r="G9" s="487" t="str">
        <x:v>Profiles persist, no core action is pointer/drag/hover only, and localization cannot alter source meaning.</x:v>
      </x:c>
    </x:row>
    <x:row r="10" ht="84" customHeight="1">
      <x:c r="A10" s="486" t="str">
        <x:v>PRE-06</x:v>
      </x:c>
      <x:c r="B10" s="486" t="str">
        <x:v>Engine prerequisite</x:v>
      </x:c>
      <x:c r="C10" s="486" t="str">
        <x:v>Durable media queue, provenance and publication store</x:v>
      </x:c>
      <x:c r="D10" s="486" t="str">
        <x:v>PRE-01, PRE-04, PRE-05</x:v>
      </x:c>
      <x:c r="E10" s="486" t="str">
        <x:v>Media coordinator + publication service</x:v>
      </x:c>
      <x:c r="F10" s="486" t="str">
        <x:v>Media/platform</x:v>
      </x:c>
      <x:c r="G10" s="486" t="str">
        <x:v>Provider failure resumes at the nearest valid checkpoint, accepted bytes persist, and publication cannot bypass QA/provenance/rights/accessibility.</x:v>
      </x:c>
    </x:row>
    <x:row r="11" ht="84" customHeight="1">
      <x:c r="A11" s="487" t="str">
        <x:v>UI-01</x:v>
      </x:c>
      <x:c r="B11" s="487" t="str">
        <x:v>Figma-free UI finalization</x:v>
      </x:c>
      <x:c r="C11" s="487" t="str">
        <x:v>Code-native tokens, primitives and component API</x:v>
      </x:c>
      <x:c r="D11" s="487" t="str">
        <x:v>PRE-01, PRE-05</x:v>
      </x:c>
      <x:c r="E11" s="487" t="str">
        <x:v>Product/design</x:v>
      </x:c>
      <x:c r="F11" s="487" t="str">
        <x:v>Frontend design system</x:v>
      </x:c>
      <x:c r="G11" s="487" t="str">
        <x:v>Figma-free library documents tokens, props, states, responsive behavior and accessibility semantics for all 40 components.</x:v>
      </x:c>
    </x:row>
    <x:row r="12" ht="84" customHeight="1">
      <x:c r="A12" s="486" t="str">
        <x:v>UI-02</x:v>
      </x:c>
      <x:c r="B12" s="486" t="str">
        <x:v>Figma-free UI finalization</x:v>
      </x:c>
      <x:c r="C12" s="486" t="str">
        <x:v>Final high-fidelity screen and flow set</x:v>
      </x:c>
      <x:c r="D12" s="486" t="str">
        <x:v>UI-01</x:v>
      </x:c>
      <x:c r="E12" s="486" t="str">
        <x:v>Product/design</x:v>
      </x:c>
      <x:c r="F12" s="486" t="str">
        <x:v>UX/UI</x:v>
      </x:c>
      <x:c r="G12" s="486" t="str">
        <x:v>Final mock screens, state variants and interaction notes are product-owner approved with no unresolved UX decisions.</x:v>
      </x:c>
    </x:row>
    <x:row r="13" ht="84" customHeight="1">
      <x:c r="A13" s="487" t="str">
        <x:v>UI-03</x:v>
      </x:c>
      <x:c r="B13" s="487" t="str">
        <x:v>Figma-free UI finalization</x:v>
      </x:c>
      <x:c r="C13" s="487" t="str">
        <x:v>Image, icon and illustration asset pipeline</x:v>
      </x:c>
      <x:c r="D13" s="487" t="str">
        <x:v>UI-01, UI-02</x:v>
      </x:c>
      <x:c r="E13" s="487" t="str">
        <x:v>Art direction + rights</x:v>
      </x:c>
      <x:c r="F13" s="487" t="str">
        <x:v>Asset pipeline</x:v>
      </x:c>
      <x:c r="G13" s="487" t="str">
        <x:v>A code-consumable asset manifest contains approved files, provenance, rights, alt text, fallback and responsive usage rules; no Figma dependency exists.</x:v>
      </x:c>
    </x:row>
    <x:row r="14" ht="84" customHeight="1">
      <x:c r="A14" s="486" t="str">
        <x:v>UI-04</x:v>
      </x:c>
      <x:c r="B14" s="486" t="str">
        <x:v>Figma-free UI finalization</x:v>
      </x:c>
      <x:c r="C14" s="486" t="str">
        <x:v>Frontend architecture and execution specification</x:v>
      </x:c>
      <x:c r="D14" s="486" t="str">
        <x:v>UI-01, UI-02, UI-03, PRE-01–06</x:v>
      </x:c>
      <x:c r="E14" s="486" t="str">
        <x:v>Product + architecture</x:v>
      </x:c>
      <x:c r="F14" s="486" t="str">
        <x:v>Frontend lead</x:v>
      </x:c>
      <x:c r="G14" s="486" t="str">
        <x:v>A self-contained frontend spec names stack-neutral boundaries, component ownership, data flows, route/state composition, tests and build order with no open product decision.</x:v>
      </x:c>
    </x:row>
    <x:row r="15" ht="84" customHeight="1">
      <x:c r="A15" s="487" t="str">
        <x:v>VS-01</x:v>
      </x:c>
      <x:c r="B15" s="487" t="str">
        <x:v>Production vertical slice</x:v>
      </x:c>
      <x:c r="C15" s="487" t="str">
        <x:v>Campaign Entry → recovery → exact Stage</x:v>
      </x:c>
      <x:c r="D15" s="487" t="str">
        <x:v>PRE-01–05, UI-04, Implementation authorization</x:v>
      </x:c>
      <x:c r="E15" s="487" t="str">
        <x:v>Campaign/recovery projections</x:v>
      </x:c>
      <x:c r="F15" s="487" t="str">
        <x:v>Frontend + platform</x:v>
      </x:c>
      <x:c r="G15" s="487" t="str">
        <x:v>Desktop-first entry/recovery flow passes timed, offline and accessible E2E with no lore or media gate.</x:v>
      </x:c>
    </x:row>
    <x:row r="16" ht="84" customHeight="1">
      <x:c r="A16" s="486" t="str">
        <x:v>VS-02</x:v>
      </x:c>
      <x:c r="B16" s="486" t="str">
        <x:v>Production vertical slice</x:v>
      </x:c>
      <x:c r="C16" s="486" t="str">
        <x:v>Adaptive Living World Stage and Context Lens</x:v>
      </x:c>
      <x:c r="D16" s="486" t="str">
        <x:v>VS-01, PRE-02, UI-01</x:v>
      </x:c>
      <x:c r="E16" s="486" t="str">
        <x:v>Stage/knowledge projections</x:v>
      </x:c>
      <x:c r="F16" s="486" t="str">
        <x:v>Frontend</x:v>
      </x:c>
      <x:c r="G16" s="486" t="str">
        <x:v>Stage remains the gravitational center across exploration, harm, dialogue and investigation without dashboard or transcript behavior.</x:v>
      </x:c>
    </x:row>
    <x:row r="17" ht="84" customHeight="1">
      <x:c r="A17" s="487" t="str">
        <x:v>VS-03</x:v>
      </x:c>
      <x:c r="B17" s="487" t="str">
        <x:v>Production vertical slice</x:v>
      </x:c>
      <x:c r="C17" s="487" t="str">
        <x:v>Intent → interpretation → forecast → commit → outcome → Chronicle</x:v>
      </x:c>
      <x:c r="D17" s="487" t="str">
        <x:v>VS-02, PRE-03, UI-04</x:v>
      </x:c>
      <x:c r="E17" s="487" t="str">
        <x:v>Interpreter/validator/reducer/Chronicle</x:v>
      </x:c>
      <x:c r="F17" s="487" t="str">
        <x:v>Frontend + engine</x:v>
      </x:c>
      <x:c r="G17" s="487" t="str">
        <x:v>One E2E slice proves the full player loop against live contract adapters before breadth work proceeds.</x:v>
      </x:c>
    </x:row>
    <x:row r="18" ht="84" customHeight="1">
      <x:c r="A18" s="486" t="str">
        <x:v>VS-04</x:v>
      </x:c>
      <x:c r="B18" s="486" t="str">
        <x:v>Production vertical slice</x:v>
      </x:c>
      <x:c r="C18" s="486" t="str">
        <x:v>Character, BP, harm and continuation</x:v>
      </x:c>
      <x:c r="D18" s="486" t="str">
        <x:v>VS-03</x:v>
      </x:c>
      <x:c r="E18" s="486" t="str">
        <x:v>Character/advancement/continuation reducers</x:v>
      </x:c>
      <x:c r="F18" s="486" t="str">
        <x:v>Frontend + engine</x:v>
      </x:c>
      <x:c r="G18" s="486" t="str">
        <x:v>BP audit reconciles exactly and every continuation route preserves legal player choice.</x:v>
      </x:c>
    </x:row>
    <x:row r="19" ht="84" customHeight="1">
      <x:c r="A19" s="487" t="str">
        <x:v>VS-05</x:v>
      </x:c>
      <x:c r="B19" s="487" t="str">
        <x:v>Production vertical slice</x:v>
      </x:c>
      <x:c r="C19" s="487" t="str">
        <x:v>Company, autonomous actors and Relics</x:v>
      </x:c>
      <x:c r="D19" s="487" t="str">
        <x:v>VS-02, VS-03</x:v>
      </x:c>
      <x:c r="E19" s="487" t="str">
        <x:v>Company/actor/Relic services</x:v>
      </x:c>
      <x:c r="F19" s="487" t="str">
        <x:v>Frontend + engine</x:v>
      </x:c>
      <x:c r="G19" s="487" t="str">
        <x:v>Autonomous refusal and Relic negotiation pass without coercive UI or hidden inference.</x:v>
      </x:c>
    </x:row>
    <x:row r="20" ht="84" customHeight="1">
      <x:c r="A20" s="486" t="str">
        <x:v>VS-06</x:v>
      </x:c>
      <x:c r="B20" s="486" t="str">
        <x:v>Production vertical slice</x:v>
      </x:c>
      <x:c r="C20" s="486" t="str">
        <x:v>Holdings, custody and projects</x:v>
      </x:c>
      <x:c r="D20" s="486" t="str">
        <x:v>VS-03, PRE-04</x:v>
      </x:c>
      <x:c r="E20" s="486" t="str">
        <x:v>Holdings/project reducers</x:v>
      </x:c>
      <x:c r="F20" s="486" t="str">
        <x:v>Frontend + engine</x:v>
      </x:c>
      <x:c r="G20" s="486" t="str">
        <x:v>Item access and project resource movement reconcile with committed events and persist across recovery.</x:v>
      </x:c>
    </x:row>
    <x:row r="21" ht="84" customHeight="1">
      <x:c r="A21" s="487" t="str">
        <x:v>VS-07</x:v>
      </x:c>
      <x:c r="B21" s="487" t="str">
        <x:v>Production vertical slice</x:v>
      </x:c>
      <x:c r="C21" s="487" t="str">
        <x:v>World, travel, Sites, evidence, Fronts and law</x:v>
      </x:c>
      <x:c r="D21" s="487" t="str">
        <x:v>VS-02, VS-03, PRE-02, PRE-04</x:v>
      </x:c>
      <x:c r="E21" s="487" t="str">
        <x:v>World/travel/case/Front/legal reducers</x:v>
      </x:c>
      <x:c r="F21" s="487" t="str">
        <x:v>Frontend + engine</x:v>
      </x:c>
      <x:c r="G21" s="487" t="str">
        <x:v>World state persists after travel and destruction while player-facing knowledge stays evidence-bound.</x:v>
      </x:c>
    </x:row>
    <x:row r="22" ht="84" customHeight="1">
      <x:c r="A22" s="486" t="str">
        <x:v>VS-08</x:v>
      </x:c>
      <x:c r="B22" s="486" t="str">
        <x:v>Production vertical slice</x:v>
      </x:c>
      <x:c r="C22" s="486" t="str">
        <x:v>Async attention and return context</x:v>
      </x:c>
      <x:c r="D22" s="486" t="str">
        <x:v>PRE-04, VS-07</x:v>
      </x:c>
      <x:c r="E22" s="486" t="str">
        <x:v>Attention projection</x:v>
      </x:c>
      <x:c r="F22" s="486" t="str">
        <x:v>Frontend + engine</x:v>
      </x:c>
      <x:c r="G22" s="486" t="str">
        <x:v>A player can return after simulated offscreen events and understand only delivered consequences and next actions.</x:v>
      </x:c>
    </x:row>
    <x:row r="23" ht="84" customHeight="1">
      <x:c r="A23" s="487" t="str">
        <x:v>VS-09</x:v>
      </x:c>
      <x:c r="B23" s="487" t="str">
        <x:v>Production vertical slice</x:v>
      </x:c>
      <x:c r="C23" s="487" t="str">
        <x:v>Comic capture, Inflection, Source Lock and job queue</x:v>
      </x:c>
      <x:c r="D23" s="487" t="str">
        <x:v>PRE-06, VS-03, UI-03</x:v>
      </x:c>
      <x:c r="E23" s="487" t="str">
        <x:v>Capture/media coordinator</x:v>
      </x:c>
      <x:c r="F23" s="487" t="str">
        <x:v>Media + frontend</x:v>
      </x:c>
      <x:c r="G23" s="487" t="str">
        <x:v>Capture cost remains lightweight, Source Lock cannot pause play, and job recovery preserves accepted work.</x:v>
      </x:c>
    </x:row>
    <x:row r="24" ht="84" customHeight="1">
      <x:c r="A24" s="486" t="str">
        <x:v>VS-10</x:v>
      </x:c>
      <x:c r="B24" s="486" t="str">
        <x:v>Production vertical slice</x:v>
      </x:c>
      <x:c r="C24" s="486" t="str">
        <x:v>Comic QA, reader, editions and corrections</x:v>
      </x:c>
      <x:c r="D24" s="486" t="str">
        <x:v>VS-09, PRE-05, PRE-06</x:v>
      </x:c>
      <x:c r="E24" s="486" t="str">
        <x:v>QA/publication services</x:v>
      </x:c>
      <x:c r="F24" s="486" t="str">
        <x:v>Media + frontend</x:v>
      </x:c>
      <x:c r="G24" s="486" t="str">
        <x:v>Publication hard gates cannot be bypassed and a correction creates a traceable superseding edition.</x:v>
      </x:c>
    </x:row>
    <x:row r="25" ht="84" customHeight="1">
      <x:c r="A25" s="487" t="str">
        <x:v>VS-11</x:v>
      </x:c>
      <x:c r="B25" s="487" t="str">
        <x:v>Production vertical slice</x:v>
      </x:c>
      <x:c r="C25" s="487" t="str">
        <x:v>Settings, accessibility, content controls and localization</x:v>
      </x:c>
      <x:c r="D25" s="487" t="str">
        <x:v>PRE-05, UI-01, VS-01</x:v>
      </x:c>
      <x:c r="E25" s="487" t="str">
        <x:v>Preference/localization services</x:v>
      </x:c>
      <x:c r="F25" s="487" t="str">
        <x:v>Frontend + platform</x:v>
      </x:c>
      <x:c r="G25" s="487" t="str">
        <x:v>Core loop passes keyboard, SR, switch, voice, 200% zoom, forced-colors, reduced-motion and pseudo-locale suites.</x:v>
      </x:c>
    </x:row>
    <x:row r="26" ht="84" customHeight="1">
      <x:c r="A26" s="486" t="str">
        <x:v>QA-01</x:v>
      </x:c>
      <x:c r="B26" s="486" t="str">
        <x:v>Validation</x:v>
      </x:c>
      <x:c r="C26" s="486" t="str">
        <x:v>Contract and 17-scenario end-to-end suite</x:v>
      </x:c>
      <x:c r="D26" s="486" t="str">
        <x:v>VS-01–11</x:v>
      </x:c>
      <x:c r="E26" s="486" t="str">
        <x:v>Quality engineering</x:v>
      </x:c>
      <x:c r="F26" s="486" t="str">
        <x:v>QA + engineering</x:v>
      </x:c>
      <x:c r="G26" s="486" t="str">
        <x:v>CI publishes traceable results for every scenario, contract, fixture and affected component with zero blocking failures.</x:v>
      </x:c>
    </x:row>
    <x:row r="27" ht="84" customHeight="1">
      <x:c r="A27" s="487" t="str">
        <x:v>QA-02</x:v>
      </x:c>
      <x:c r="B27" s="487" t="str">
        <x:v>Validation</x:v>
      </x:c>
      <x:c r="C27" s="487" t="str">
        <x:v>Accessibility, localization, device and visual validation</x:v>
      </x:c>
      <x:c r="D27" s="487" t="str">
        <x:v>UI-02, UI-03, VS-11</x:v>
      </x:c>
      <x:c r="E27" s="487" t="str">
        <x:v>Accessibility/localization QA</x:v>
      </x:c>
      <x:c r="F27" s="487" t="str">
        <x:v>QA + design + frontend</x:v>
      </x:c>
      <x:c r="G27" s="487" t="str">
        <x:v>Blocking issues are closed with evidence from target browsers, keyboard, screen reader, switch/voice probes, zoom, contrast and locale variants.</x:v>
      </x:c>
    </x:row>
    <x:row r="28" ht="84" customHeight="1">
      <x:c r="A28" s="507" t="str">
        <x:v>REL-01</x:v>
      </x:c>
      <x:c r="B28" s="507" t="str">
        <x:v>Release and handoff</x:v>
      </x:c>
      <x:c r="C28" s="507" t="str">
        <x:v>Production readiness gate and new-session Codex execution package</x:v>
      </x:c>
      <x:c r="D28" s="507" t="str">
        <x:v>PRE-01–06, UI-01–04, QA-01–02, C4 approval, Implementation authorization</x:v>
      </x:c>
      <x:c r="E28" s="507" t="str">
        <x:v>Product owner + technical lead</x:v>
      </x:c>
      <x:c r="F28" s="507" t="str">
        <x:v>Release coordinator</x:v>
      </x:c>
      <x:c r="G28" s="507" t="str">
        <x:v>The handoff prompt, dependency map, build order, acceptance checklist, assets, mock screens, component library and contract packages are self-contained and contain no unresolved product decision.</x:v>
      </x:c>
    </x:row>
  </x:sheetData>
  <x:mergeCells>
    <x:mergeCell ref="A1:G1"/>
    <x:mergeCell ref="A2:G2"/>
  </x:mergeCells>
  <x:pageMargins left="0.7" right="0.7" top="0.75" bottom="0.75" header="0.3" footer="0.3"/>
  <x:tableParts count="1">
    <x:tablePart xmlns:r="http://schemas.openxmlformats.org/officeDocument/2006/relationships" r:id="Rfeae44f7d6f44032"/>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65" hidden="0" customWidth="1"/>
    <x:col min="4" max="4" width="28" hidden="0" customWidth="1"/>
    <x:col min="5" max="5" width="28" hidden="0" customWidth="1"/>
    <x:col min="6" max="6" width="60" hidden="0" customWidth="1"/>
    <x:col min="7" max="7" width="28" hidden="0" customWidth="1"/>
  </x:cols>
  <x:sheetData>
    <x:row r="1">
      <x:c r="A1" s="424" t="str">
        <x:v>CHECKPOINT C4 • CI + RELEASE VALIDATION GATES</x:v>
      </x:c>
      <x:c r="B1" s="424" t="str">
        <x:v>CHECKPOINT C4 • CI + RELEASE VALIDATION GATES</x:v>
      </x:c>
      <x:c r="C1" s="424" t="str">
        <x:v>CHECKPOINT C4 • CI + RELEASE VALIDATION GATES</x:v>
      </x:c>
      <x:c r="D1" s="424" t="str">
        <x:v>CHECKPOINT C4 • CI + RELEASE VALIDATION GATES</x:v>
      </x:c>
      <x:c r="E1" s="424" t="str">
        <x:v>CHECKPOINT C4 • CI + RELEASE VALIDATION GATES</x:v>
      </x:c>
      <x:c r="F1" s="424" t="str">
        <x:v>CHECKPOINT C4 • CI + RELEASE VALIDATION GATES</x:v>
      </x:c>
      <x:c r="G1" s="424" t="str">
        <x:v>CHECKPOINT C4 • CI + RELEASE VALIDATION GATES</x:v>
      </x:c>
    </x:row>
    <x:row r="2">
      <x:c r="A2" s="428" t="str">
        <x:v>No visual-only pass can satisfy authority, knowledge, persistence, accessibility, media, privacy or release evidence</x:v>
      </x:c>
      <x:c r="B2" s="428" t="str">
        <x:v>No visual-only pass can satisfy authority, knowledge, persistence, accessibility, media, privacy or release evidence</x:v>
      </x:c>
      <x:c r="C2" s="428" t="str">
        <x:v>No visual-only pass can satisfy authority, knowledge, persistence, accessibility, media, privacy or release evidence</x:v>
      </x:c>
      <x:c r="D2" s="428" t="str">
        <x:v>No visual-only pass can satisfy authority, knowledge, persistence, accessibility, media, privacy or release evidence</x:v>
      </x:c>
      <x:c r="E2" s="428" t="str">
        <x:v>No visual-only pass can satisfy authority, knowledge, persistence, accessibility, media, privacy or release evidence</x:v>
      </x:c>
      <x:c r="F2" s="428" t="str">
        <x:v>No visual-only pass can satisfy authority, knowledge, persistence, accessibility, media, privacy or release evidence</x:v>
      </x:c>
      <x:c r="G2" s="428" t="str">
        <x:v>No visual-only pass can satisfy authority, knowledge, persistence, accessibility, media, privacy or release evidence</x:v>
      </x:c>
    </x:row>
    <x:row r="4">
      <x:c r="A4" s="483" t="str">
        <x:v>Gate</x:v>
      </x:c>
      <x:c r="B4" s="484" t="str">
        <x:v>Name</x:v>
      </x:c>
      <x:c r="C4" s="484" t="str">
        <x:v>Required Evidence</x:v>
      </x:c>
      <x:c r="D4" s="484" t="str">
        <x:v>Owner</x:v>
      </x:c>
      <x:c r="E4" s="484" t="str">
        <x:v>Stage</x:v>
      </x:c>
      <x:c r="F4" s="484" t="str">
        <x:v>Blocks When</x:v>
      </x:c>
      <x:c r="G4" s="485" t="str">
        <x:v>Status</x:v>
      </x:c>
    </x:row>
    <x:row r="5" ht="84" customHeight="1">
      <x:c r="A5" s="457" t="str">
        <x:v>CI-01</x:v>
      </x:c>
      <x:c r="B5" s="457" t="str">
        <x:v>Contract reference integrity</x:v>
      </x:c>
      <x:c r="C5" s="457" t="str">
        <x:v>Every JSON Schema/OpenAPI/AsyncAPI reference resolves and approved operation/message counts match.</x:v>
      </x:c>
      <x:c r="D5" s="457" t="str">
        <x:v>Platform</x:v>
      </x:c>
      <x:c r="E5" s="457" t="str">
        <x:v>Pull request</x:v>
      </x:c>
      <x:c r="F5" s="457" t="str">
        <x:v>Any unresolved reference, duplicate ID or count drift</x:v>
      </x:c>
      <x:c r="G5" s="504" t="str">
        <x:v>Defined; pending implementation</x:v>
      </x:c>
    </x:row>
    <x:row r="6" ht="84" customHeight="1">
      <x:c r="A6" s="486" t="str">
        <x:v>CI-02</x:v>
      </x:c>
      <x:c r="B6" s="486" t="str">
        <x:v>Generated consumer drift</x:v>
      </x:c>
      <x:c r="C6" s="486" t="str">
        <x:v>Generate TypeScript types and runtime validators from approved schemas and require a clean diff.</x:v>
      </x:c>
      <x:c r="D6" s="486" t="str">
        <x:v>Platform/frontend</x:v>
      </x:c>
      <x:c r="E6" s="486" t="str">
        <x:v>Pull request</x:v>
      </x:c>
      <x:c r="F6" s="486" t="str">
        <x:v>Generated output differs or handwritten duplicate model appears</x:v>
      </x:c>
      <x:c r="G6" s="505" t="str">
        <x:v>Defined; pending implementation</x:v>
      </x:c>
    </x:row>
    <x:row r="7" ht="84" customHeight="1">
      <x:c r="A7" s="487" t="str">
        <x:v>CI-03</x:v>
      </x:c>
      <x:c r="B7" s="487" t="str">
        <x:v>Deterministic fixture suite</x:v>
      </x:c>
      <x:c r="C7" s="487" t="str">
        <x:v>Run all 127 C1-C3 fixture expectations; positives pass and deliberate negatives fail.</x:v>
      </x:c>
      <x:c r="D7" s="487" t="str">
        <x:v>Quality engineering</x:v>
      </x:c>
      <x:c r="E7" s="487" t="str">
        <x:v>Pull request</x:v>
      </x:c>
      <x:c r="F7" s="487" t="str">
        <x:v>Any expectation fails or a negative payload is accepted</x:v>
      </x:c>
      <x:c r="G7" s="505" t="str">
        <x:v>Defined; pending implementation</x:v>
      </x:c>
    </x:row>
    <x:row r="8" ht="84" customHeight="1">
      <x:c r="A8" s="486" t="str">
        <x:v>CI-04</x:v>
      </x:c>
      <x:c r="B8" s="486" t="str">
        <x:v>Knowledge leakage canaries</x:v>
      </x:c>
      <x:c r="C8" s="486" t="str">
        <x:v>Scan public projections, logs, analytics and snapshots for forbidden hidden/private keys and values.</x:v>
      </x:c>
      <x:c r="D8" s="486" t="str">
        <x:v>Security/knowledge</x:v>
      </x:c>
      <x:c r="E8" s="486" t="str">
        <x:v>Pull request + nightly</x:v>
      </x:c>
      <x:c r="F8" s="486" t="str">
        <x:v>Any hidden truth, private motive, secret clock, exact lost coordinates or protected media audit data reaches a public surface</x:v>
      </x:c>
      <x:c r="G8" s="505" t="str">
        <x:v>Defined; pending implementation</x:v>
      </x:c>
    </x:row>
    <x:row r="9" ht="84" customHeight="1">
      <x:c r="A9" s="487" t="str">
        <x:v>CI-05</x:v>
      </x:c>
      <x:c r="B9" s="487" t="str">
        <x:v>Command authority and idempotency</x:v>
      </x:c>
      <x:c r="C9" s="487" t="str">
        <x:v>Prove canonical mutation occurs only through approved reducers and duplicate/idempotent/unknown-commit paths are safe.</x:v>
      </x:c>
      <x:c r="D9" s="487" t="str">
        <x:v>Engine</x:v>
      </x:c>
      <x:c r="E9" s="487" t="str">
        <x:v>Pull request + integration</x:v>
      </x:c>
      <x:c r="F9" s="487" t="str">
        <x:v>Duplicate mutation, optimistic canonical state or retry-before-lookup</x:v>
      </x:c>
      <x:c r="G9" s="505" t="str">
        <x:v>Defined; pending implementation</x:v>
      </x:c>
    </x:row>
    <x:row r="10" ht="84" customHeight="1">
      <x:c r="A10" s="486" t="str">
        <x:v>CI-06</x:v>
      </x:c>
      <x:c r="B10" s="486" t="str">
        <x:v>Projection freshness and conflict</x:v>
      </x:c>
      <x:c r="C10" s="486" t="str">
        <x:v>Exercise current, last-known, disputed, stale-material, conflict, rebase and renewed-confirmation paths.</x:v>
      </x:c>
      <x:c r="D10" s="486" t="str">
        <x:v>Engine/frontend</x:v>
      </x:c>
      <x:c r="E10" s="486" t="str">
        <x:v>Integration</x:v>
      </x:c>
      <x:c r="F10" s="486" t="str">
        <x:v>Silent merge, stale commit or inaccessible recovery</x:v>
      </x:c>
      <x:c r="G10" s="505" t="str">
        <x:v>Defined; pending implementation</x:v>
      </x:c>
    </x:row>
    <x:row r="11" ht="84" customHeight="1">
      <x:c r="A11" s="487" t="str">
        <x:v>CI-07</x:v>
      </x:c>
      <x:c r="B11" s="487" t="str">
        <x:v>Reconnect and durable persistence</x:v>
      </x:c>
      <x:c r="C11" s="487" t="str">
        <x:v>Cold restart, disconnect and provider-failure tests preserve checkpoint, draft, queue, capture, Source Lock and accepted assets.</x:v>
      </x:c>
      <x:c r="D11" s="487" t="str">
        <x:v>Platform/media</x:v>
      </x:c>
      <x:c r="E11" s="487" t="str">
        <x:v>Integration + nightly</x:v>
      </x:c>
      <x:c r="F11" s="487" t="str">
        <x:v>Lost work, duplicate event/page or restarted completed checkpoint</x:v>
      </x:c>
      <x:c r="G11" s="505" t="str">
        <x:v>Defined; pending implementation</x:v>
      </x:c>
    </x:row>
    <x:row r="12" ht="84" customHeight="1">
      <x:c r="A12" s="486" t="str">
        <x:v>CI-08</x:v>
      </x:c>
      <x:c r="B12" s="486" t="str">
        <x:v>Accessibility semantics</x:v>
      </x:c>
      <x:c r="C12" s="486" t="str">
        <x:v>Static semantics plus keyboard automation cover landmarks, focus, names, roles, announcements, noncolor cues and non-drag alternatives.</x:v>
      </x:c>
      <x:c r="D12" s="486" t="str">
        <x:v>Accessibility/frontend</x:v>
      </x:c>
      <x:c r="E12" s="486" t="str">
        <x:v>Pull request</x:v>
      </x:c>
      <x:c r="F12" s="486" t="str">
        <x:v>Missing accessible name/role/state, focus loss, drag/hover-only action or color-only meaning</x:v>
      </x:c>
      <x:c r="G12" s="505" t="str">
        <x:v>Defined; pending implementation</x:v>
      </x:c>
    </x:row>
    <x:row r="13" ht="84" customHeight="1">
      <x:c r="A13" s="487" t="str">
        <x:v>CI-09</x:v>
      </x:c>
      <x:c r="B13" s="487" t="str">
        <x:v>Human assistive-technology matrix</x:v>
      </x:c>
      <x:c r="C13" s="487" t="str">
        <x:v>Screen-reader, switch/voice, 200% zoom, forced-colors and reduced-motion sessions cover the core loop and media reader.</x:v>
      </x:c>
      <x:c r="D13" s="487" t="str">
        <x:v>Accessibility QA</x:v>
      </x:c>
      <x:c r="E13" s="487" t="str">
        <x:v>Release candidate</x:v>
      </x:c>
      <x:c r="F13" s="487" t="str">
        <x:v>Any core capability lacks parity or material update is inaccessible</x:v>
      </x:c>
      <x:c r="G13" s="505" t="str">
        <x:v>Defined; pending implementation</x:v>
      </x:c>
    </x:row>
    <x:row r="14" ht="84" customHeight="1">
      <x:c r="A14" s="486" t="str">
        <x:v>CI-10</x:v>
      </x:c>
      <x:c r="B14" s="486" t="str">
        <x:v>Localization and content fidelity</x:v>
      </x:c>
      <x:c r="C14" s="486" t="str">
        <x:v>Pseudo-locales, RTL, long strings, glyph coverage and dialogue/outcome source comparison run across play and comic lettering.</x:v>
      </x:c>
      <x:c r="D14" s="486" t="str">
        <x:v>Localization QA</x:v>
      </x:c>
      <x:c r="E14" s="486" t="str">
        <x:v>Pull request + release candidate</x:v>
      </x:c>
      <x:c r="F14" s="486" t="str">
        <x:v>Clipped critical state, broken reading order or changed promise/fact/outcome meaning</x:v>
      </x:c>
      <x:c r="G14" s="505" t="str">
        <x:v>Defined; pending implementation</x:v>
      </x:c>
    </x:row>
    <x:row r="15" ht="84" customHeight="1">
      <x:c r="A15" s="487" t="str">
        <x:v>CI-11</x:v>
      </x:c>
      <x:c r="B15" s="487" t="str">
        <x:v>Media publication hard gates</x:v>
      </x:c>
      <x:c r="C15" s="487" t="str">
        <x:v>Block publication unless Source Lock, rights, provenance, retained bytes, QA and accessibility package all pass.</x:v>
      </x:c>
      <x:c r="D15" s="487" t="str">
        <x:v>Media/QA</x:v>
      </x:c>
      <x:c r="E15" s="487" t="str">
        <x:v>Integration + release</x:v>
      </x:c>
      <x:c r="F15" s="487" t="str">
        <x:v>WIP without opt-in, knowledge-ceiling breach, failed asset, mutable edition or missing lineage</x:v>
      </x:c>
      <x:c r="G15" s="505" t="str">
        <x:v>Defined; pending implementation</x:v>
      </x:c>
    </x:row>
    <x:row r="16" ht="84" customHeight="1">
      <x:c r="A16" s="486" t="str">
        <x:v>CI-12</x:v>
      </x:c>
      <x:c r="B16" s="486" t="str">
        <x:v>Privacy-safe analytics</x:v>
      </x:c>
      <x:c r="C16" s="486" t="str">
        <x:v>Schema-validate telemetry and scan for prose, prompts, raw dialogue, private canon and asset bytes.</x:v>
      </x:c>
      <x:c r="D16" s="486" t="str">
        <x:v>Privacy/platform</x:v>
      </x:c>
      <x:c r="E16" s="486" t="str">
        <x:v>Pull request + production canary</x:v>
      </x:c>
      <x:c r="F16" s="486" t="str">
        <x:v>Any prohibited content or analytics-driven play mutation</x:v>
      </x:c>
      <x:c r="G16" s="505" t="str">
        <x:v>Defined; pending implementation</x:v>
      </x:c>
    </x:row>
    <x:row r="17" ht="84" customHeight="1">
      <x:c r="A17" s="487" t="str">
        <x:v>CI-13</x:v>
      </x:c>
      <x:c r="B17" s="487" t="str">
        <x:v>Visual and responsive regression</x:v>
      </x:c>
      <x:c r="C17" s="487" t="str">
        <x:v>Compare approved desktop-first screens and compact capability variants across loading/empty/stale/conflict/recovery states.</x:v>
      </x:c>
      <x:c r="D17" s="487" t="str">
        <x:v>Design/frontend</x:v>
      </x:c>
      <x:c r="E17" s="487" t="str">
        <x:v>Pull request + release candidate</x:v>
      </x:c>
      <x:c r="F17" s="487" t="str">
        <x:v>Critical clipping, hierarchy loss, asset-truth dependency or capability loss</x:v>
      </x:c>
      <x:c r="G17" s="505" t="str">
        <x:v>Defined; pending implementation</x:v>
      </x:c>
    </x:row>
    <x:row r="18" ht="84" customHeight="1">
      <x:c r="A18" s="486" t="str">
        <x:v>CI-14</x:v>
      </x:c>
      <x:c r="B18" s="486" t="str">
        <x:v>17-scenario release suite</x:v>
      </x:c>
      <x:c r="C18" s="486" t="str">
        <x:v>Execute the scenario closure matrix against a deterministic campaign and retain contract/UI/engine evidence.</x:v>
      </x:c>
      <x:c r="D18" s="486" t="str">
        <x:v>Quality engineering</x:v>
      </x:c>
      <x:c r="E18" s="486" t="str">
        <x:v>Release candidate</x:v>
      </x:c>
      <x:c r="F18" s="486" t="str">
        <x:v>Any scenario lacks evidence or violates its canon/knowledge guardrail</x:v>
      </x:c>
      <x:c r="G18" s="505" t="str">
        <x:v>Defined; pending implementation</x:v>
      </x:c>
    </x:row>
    <x:row r="19" ht="84" customHeight="1">
      <x:c r="A19" s="488" t="str">
        <x:v>CI-15</x:v>
      </x:c>
      <x:c r="B19" s="488" t="str">
        <x:v>Performance and long-session resilience</x:v>
      </x:c>
      <x:c r="C19" s="488" t="str">
        <x:v>Measure first meaningful choice, interaction latency, two-hour memory/readability, event backlog and offline recovery.</x:v>
      </x:c>
      <x:c r="D19" s="488" t="str">
        <x:v>Performance/research</x:v>
      </x:c>
      <x:c r="E19" s="488" t="str">
        <x:v>Nightly + release candidate</x:v>
      </x:c>
      <x:c r="F19" s="488" t="str">
        <x:v>Budget breach, unreadable accumulation, lost state or blocked play</x:v>
      </x:c>
      <x:c r="G19" s="506" t="str">
        <x:v>Defined; pending implementation</x:v>
      </x:c>
    </x:row>
  </x:sheetData>
  <x:mergeCells>
    <x:mergeCell ref="A1:G1"/>
    <x:mergeCell ref="A2:G2"/>
  </x:mergeCells>
  <x:pageMargins left="0.7" right="0.7" top="0.75" bottom="0.75" header="0.3" footer="0.3"/>
  <x:tableParts count="1">
    <x:tablePart xmlns:r="http://schemas.openxmlformats.org/officeDocument/2006/relationships" r:id="Ra8cbfcf9a3ee4cf7"/>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45" hidden="0" customWidth="1"/>
    <x:col min="2" max="2" width="55" hidden="0" customWidth="1"/>
    <x:col min="3" max="3" width="70" hidden="0" customWidth="1"/>
    <x:col min="4" max="4" width="30" hidden="0" customWidth="1"/>
  </x:cols>
  <x:sheetData>
    <x:row r="1" ht="24" customHeight="1">
      <x:c r="A1" s="424" t="str">
        <x:v>CHECKPOINT C4 • SEPARATE IMPLEMENTATION-AUTHORIZATION DECISION</x:v>
      </x:c>
      <x:c r="B1" s="424" t="str">
        <x:v>CHECKPOINT C4 • SEPARATE IMPLEMENTATION-AUTHORIZATION DECISION</x:v>
      </x:c>
      <x:c r="C1" s="424" t="str">
        <x:v>CHECKPOINT C4 • SEPARATE IMPLEMENTATION-AUTHORIZATION DECISION</x:v>
      </x:c>
      <x:c r="D1" s="424" t="str">
        <x:v>CHECKPOINT C4 • SEPARATE IMPLEMENTATION-AUTHORIZATION DECISION</x:v>
      </x:c>
    </x:row>
    <x:row r="2" ht="24" customHeight="1">
      <x:c r="A2" s="428" t="str">
        <x:v>Preimplementation handoff ready • implementation authorization pending • production deployment and public release remain closed</x:v>
      </x:c>
      <x:c r="B2" s="428" t="str">
        <x:v>C4 planning is approved while production implementation remains closed</x:v>
      </x:c>
      <x:c r="C2" s="428" t="str">
        <x:v>C4 planning is approved while production implementation remains closed</x:v>
      </x:c>
      <x:c r="D2" s="428" t="str">
        <x:v>C4 planning is approved while production implementation remains closed</x:v>
      </x:c>
    </x:row>
    <x:row r="3" ht="24" customHeight="1"/>
    <x:row r="4" ht="48" customHeight="1">
      <x:c r="A4" s="519" t="str">
        <x:v>Decision</x:v>
      </x:c>
      <x:c r="B4" s="439" t="str">
        <x:v>CLOSED</x:v>
      </x:c>
      <x:c r="C4" s="524" t="str">
        <x:v>WHY THE GATE REMAINS CLOSED</x:v>
      </x:c>
      <x:c r="D4" s="524" t="str">
        <x:v>WHY THE GATE REMAINS CLOSED</x:v>
      </x:c>
    </x:row>
    <x:row r="5" ht="60" customHeight="1">
      <x:c r="A5" s="519" t="str">
        <x:v>Recommendation</x:v>
      </x:c>
      <x:c r="B5" s="450" t="str">
        <x:v>READY FOR EXPLICIT CLEAN-SESSION IMPLEMENTATION AUTHORIZATION; PRODUCTION RELEASE WITHHELD.</x:v>
      </x:c>
      <x:c r="C5" s="520" t="str">
        <x:v>C1–C4 and UI-01–UI-04 are approved and locked. The final preimplementation handoff is validated and ready for explicit clean-session Codex authorization. Construction, production deployment and public release remain withheld.</x:v>
      </x:c>
      <x:c r="D5" s="520" t="str">
        <x:v>Contracts and the build plan are closed, but UI-01 through UI-04 must be completed and approved before a clean Codex implementation handoff. UI-01 is now an approval candidate; that does not open production construction.</x:v>
      </x:c>
    </x:row>
    <x:row r="6" ht="74" customHeight="1">
      <x:c r="A6" s="519" t="str">
        <x:v>Approval effect</x:v>
      </x:c>
      <x:c r="B6" s="450" t="str">
        <x:v>C1–C4 and UI-01–UI-04 approval locks all planning, contracts, final UX/UI and execution architecture; it authorizes the validated handoff only.</x:v>
      </x:c>
      <x:c r="C6" s="520" t="str">
        <x:v>The handoff is complete and checksum controlled. Construction remains unopened until the exact implementation-authorization phrase is given in the new session.</x:v>
      </x:c>
      <x:c r="D6" s="520" t="str">
        <x:v>Contracts and the build plan are closed, but UI-01 through UI-04 must be completed and approved before a clean Codex implementation handoff. UI-01 is now an approval candidate; that does not open production construction.</x:v>
      </x:c>
    </x:row>
    <x:row r="7" ht="92" customHeight="1">
      <x:c r="A7" s="519" t="str">
        <x:v>Prohibited effect</x:v>
      </x:c>
      <x:c r="B7" s="450" t="str">
        <x:v>Preimplementation readiness does not authorize production deployment, public release, destructive production mutation, paid providers, comic publication, art-rights/canon clearance or gate bypass.</x:v>
      </x:c>
      <x:c r="C7" s="520" t="str">
        <x:v>After explicit implementation authorization, the permitted target is a tested protected preview candidate; REL-01 remains a separate post-build and post-QA decision.</x:v>
      </x:c>
      <x:c r="D7" s="520" t="str">
        <x:v>Contracts and the build plan are closed, but UI-01 through UI-04 must be completed and approved before a clean Codex implementation handoff. UI-01 is now an approval candidate; that does not open production construction.</x:v>
      </x:c>
    </x:row>
    <x:row r="8" ht="24" customHeight="1"/>
    <x:row r="9" ht="24" customHeight="1">
      <x:c r="A9" s="483" t="str">
        <x:v>Gate</x:v>
      </x:c>
      <x:c r="B9" s="484" t="str">
        <x:v>Status</x:v>
      </x:c>
      <x:c r="C9" s="485" t="str">
        <x:v>Evidence</x:v>
      </x:c>
    </x:row>
    <x:row r="10" ht="24" customHeight="1">
      <x:c r="A10" s="462" t="str">
        <x:v>C1 common/core contracts</x:v>
      </x:c>
      <x:c r="B10" s="528" t="str">
        <x:v>PASS</x:v>
      </x:c>
      <x:c r="C10" s="462" t="str">
        <x:v>Approved; 24/24 fixture expectations</x:v>
      </x:c>
    </x:row>
    <x:row r="11" ht="24" customHeight="1">
      <x:c r="A11" s="487" t="str">
        <x:v>C2 system-breadth contracts</x:v>
      </x:c>
      <x:c r="B11" s="530" t="str">
        <x:v>PASS</x:v>
      </x:c>
      <x:c r="C11" s="487" t="str">
        <x:v>Approved; 43/43 fixture expectations</x:v>
      </x:c>
    </x:row>
    <x:row r="12" ht="24" customHeight="1">
      <x:c r="A12" s="486" t="str">
        <x:v>C3 async/accessibility/media contracts</x:v>
      </x:c>
      <x:c r="B12" s="530" t="str">
        <x:v>PASS</x:v>
      </x:c>
      <x:c r="C12" s="486" t="str">
        <x:v>Approved; 60/60 fixture expectations</x:v>
      </x:c>
    </x:row>
    <x:row r="13" ht="24" customHeight="1">
      <x:c r="A13" s="487" t="str">
        <x:v>C4 scenario/component traceability</x:v>
      </x:c>
      <x:c r="B13" s="543" t="str">
        <x:v>PASS</x:v>
      </x:c>
      <x:c r="C13" s="487" t="str">
        <x:v>Approved; 17/17 scenarios and 40/40 components traced</x:v>
      </x:c>
    </x:row>
    <x:row r="14" ht="24" customHeight="1">
      <x:c r="A14" s="486" t="str">
        <x:v>C4 sequenced backlog and CI gates</x:v>
      </x:c>
      <x:c r="B14" s="543" t="str">
        <x:v>PASS</x:v>
      </x:c>
      <x:c r="C14" s="486" t="str">
        <x:v>Approved; 24 backlog items and 15 CI/release gates defined</x:v>
      </x:c>
    </x:row>
    <x:row r="15" ht="24" customHeight="1">
      <x:c r="A15" s="487" t="str">
        <x:v>Figma-free code-native component library</x:v>
      </x:c>
      <x:c r="B15" s="602" t="str">
        <x:v>PASS</x:v>
      </x:c>
      <x:c r="C15" s="487" t="str">
        <x:v>Approved 2026-08-23; 40/40 component specs, token system, state grammar, responsive rules, accessibility and browser reference locked</x:v>
      </x:c>
    </x:row>
    <x:row r="16" ht="24" customHeight="1">
      <x:c r="A16" s="486" t="str">
        <x:v>Final high-fidelity screens and state variants</x:v>
      </x:c>
      <x:c r="B16" s="670" t="str">
        <x:v>PASS</x:v>
      </x:c>
      <x:c r="C16" s="486" t="str">
        <x:v>Approved 2026-08-23; 14 screen families, 13 public states, six access presentations, 17/17 scenarios and 40/40 components locked</x:v>
      </x:c>
    </x:row>
    <x:row r="17" ht="24" customHeight="1">
      <x:c r="A17" s="487" t="str">
        <x:v>Image/icon/illustration asset manifest</x:v>
      </x:c>
      <x:c r="B17" s="752" t="str">
        <x:v>PASS</x:v>
      </x:c>
      <x:c r="C17" s="487" t="str">
        <x:v>Approved 2026-08-23; 60 asset slots, five controlled references, 49 approved code-native icons, 14/14 placement/fallback contracts and six brief families locked</x:v>
      </x:c>
    </x:row>
    <x:row r="18" ht="24" customHeight="1">
      <x:c r="A18" s="486" t="str">
        <x:v>Frontend architecture/execution specification</x:v>
      </x:c>
      <x:c r="B18" s="833" t="str">
        <x:v>PASS</x:v>
      </x:c>
      <x:c r="C18" s="486" t="str">
        <x:v>Approved 2026-08-23; 28 decisions, eight layers, 14 routes, 10 machines, 16 ports, 60/60 operations, eight stores, 40/40 components, 17/17 scenarios, 127 fixtures, 15/15 architecture gates and 16 execution packets locked</x:v>
      </x:c>
    </x:row>
    <x:row r="19" ht="24" customHeight="1">
      <x:c r="A19" s="488" t="str">
        <x:v>New-session Codex execution package</x:v>
      </x:c>
      <x:c r="B19" s="835" t="str">
        <x:v>READY—AUTH REQUIRED</x:v>
      </x:c>
      <x:c r="C19" s="488" t="str">
        <x:v>Checksum-controlled preimplementation Codex handoff assembled and validated: 33 artifacts, eight embedded approved packages, eight of eight checkpoints and six of six pre-engineering specifications complete. Awaiting explicit implementation authorization. REL-01 production readiness remains post-build and post-QA.</x:v>
      </x:c>
    </x:row>
    <x:row r="20" ht="24" customHeight="1"/>
    <x:row r="21" ht="24" customHeight="1">
      <x:c r="A21" s="536" t="str">
        <x:v>All planning, pre-engineering preparation and finalized frontend UX/UI work are complete. To open construction in a new Codex session, use the exact authorization phrase: “Authorize the clean-session Codex implementation run.” Production deployment and public release remain separate later gates.</x:v>
      </x:c>
      <x:c r="B21" s="536" t="str">
        <x:v>UI-01 is ready for product-owner review. Its approval will lock the component library and authorize UI-02 final screens/state variants; production implementation will remain CLOSED.</x:v>
      </x:c>
      <x:c r="C21" s="536" t="str">
        <x:v>UI-01 is ready for product-owner review. Its approval will lock the component library and authorize UI-02 final screens/state variants; production implementation will remain CLOSED.</x:v>
      </x:c>
      <x:c r="D21" s="536" t="str">
        <x:v>UI-01 is ready for product-owner review. Its approval will lock the component library and authorize UI-02 final screens/state variants; production implementation will remain CLOSED.</x:v>
      </x:c>
    </x:row>
    <x:row r="22" ht="24" customHeight="1"/>
    <x:row r="23" ht="24" customHeight="1"/>
    <x:row r="24" ht="24" customHeight="1"/>
    <x:row r="25" ht="24" customHeight="1"/>
    <x:row r="26" ht="24" customHeight="1"/>
    <x:row r="27" ht="24" customHeight="1"/>
    <x:row r="28" ht="24" customHeight="1"/>
    <x:row r="29" ht="24" customHeight="1"/>
    <x:row r="30" ht="24" customHeight="1"/>
  </x:sheetData>
  <x:mergeCells>
    <x:mergeCell ref="A1:D1"/>
    <x:mergeCell ref="A2:D2"/>
    <x:mergeCell ref="C4:D4"/>
    <x:mergeCell ref="C5:D7"/>
    <x:mergeCell ref="A21:D21"/>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defaultRowHeight="15"/>
  <x:cols>
    <x:col min="1" max="1" width="24" hidden="0" customWidth="1"/>
    <x:col min="2" max="2" width="42" hidden="0" customWidth="1"/>
    <x:col min="3" max="3" width="4" hidden="0" customWidth="1"/>
    <x:col min="4" max="4" width="27" hidden="0" customWidth="1"/>
    <x:col min="5" max="5" width="14" hidden="0" customWidth="1"/>
    <x:col min="6" max="6" width="4" hidden="0" customWidth="1"/>
    <x:col min="7" max="7" width="26" hidden="0" customWidth="1"/>
    <x:col min="8" max="8" width="26" hidden="0" customWidth="1"/>
  </x:cols>
  <x:sheetData>
    <x:row r="1" ht="30" customHeight="1">
      <x:c r="A1" s="547" t="str">
        <x:v>MYTHIC SUPERHERO RPG • UI-01 CODE-NATIVE COMPONENT LIBRARY</x:v>
      </x:c>
      <x:c r="B1" s="547" t="str">
        <x:v>MYTHIC SUPERHERO RPG • UI-01 CODE-NATIVE COMPONENT LIBRARY</x:v>
      </x:c>
      <x:c r="C1" s="547" t="str">
        <x:v>MYTHIC SUPERHERO RPG • UI-01 CODE-NATIVE COMPONENT LIBRARY</x:v>
      </x:c>
      <x:c r="D1" s="547" t="str">
        <x:v>MYTHIC SUPERHERO RPG • UI-01 CODE-NATIVE COMPONENT LIBRARY</x:v>
      </x:c>
      <x:c r="E1" s="547" t="str">
        <x:v>MYTHIC SUPERHERO RPG • UI-01 CODE-NATIVE COMPONENT LIBRARY</x:v>
      </x:c>
      <x:c r="F1" s="547" t="str">
        <x:v>MYTHIC SUPERHERO RPG • UI-01 CODE-NATIVE COMPONENT LIBRARY</x:v>
      </x:c>
      <x:c r="G1" s="547" t="str">
        <x:v>MYTHIC SUPERHERO RPG • UI-01 CODE-NATIVE COMPONENT LIBRARY</x:v>
      </x:c>
      <x:c r="H1" s="547" t="str">
        <x:v>MYTHIC SUPERHERO RPG • UI-01 CODE-NATIVE COMPONENT LIBRARY</x:v>
      </x:c>
    </x:row>
    <x:row r="2" ht="32" customHeight="1">
      <x:c r="A2" s="551" t="str">
        <x:v>Figma-free browser-native library approved and locked · desktop-first Adaptive Living World Stage · production gate CLOSED</x:v>
      </x:c>
      <x:c r="B2" s="551" t="str">
        <x:v>Figma-free browser-native approval candidate • desktop-first Adaptive Living World Stage • production gate CLOSED</x:v>
      </x:c>
      <x:c r="C2" s="551" t="str">
        <x:v>Figma-free browser-native approval candidate • desktop-first Adaptive Living World Stage • production gate CLOSED</x:v>
      </x:c>
      <x:c r="D2" s="551" t="str">
        <x:v>Figma-free browser-native approval candidate • desktop-first Adaptive Living World Stage • production gate CLOSED</x:v>
      </x:c>
      <x:c r="E2" s="551" t="str">
        <x:v>Figma-free browser-native approval candidate • desktop-first Adaptive Living World Stage • production gate CLOSED</x:v>
      </x:c>
      <x:c r="F2" s="551" t="str">
        <x:v>Figma-free browser-native approval candidate • desktop-first Adaptive Living World Stage • production gate CLOSED</x:v>
      </x:c>
      <x:c r="G2" s="551" t="str">
        <x:v>Figma-free browser-native approval candidate • desktop-first Adaptive Living World Stage • production gate CLOSED</x:v>
      </x:c>
      <x:c r="H2" s="551" t="str">
        <x:v>Figma-free browser-native approval candidate • desktop-first Adaptive Living World Stage • production gate CLOSED</x:v>
      </x:c>
    </x:row>
    <x:row r="3" ht="24" customHeight="1"/>
    <x:row r="4" ht="38" customHeight="1">
      <x:c r="A4" s="555" t="str">
        <x:v>C4 dependency</x:v>
      </x:c>
      <x:c r="B4" s="559" t="str">
        <x:v>Approved and locked · 2026-08-23</x:v>
      </x:c>
      <x:c r="D4" s="561" t="str">
        <x:v>UI-01 APPROVED EVIDENCE</x:v>
      </x:c>
      <x:c r="E4" s="561" t="str">
        <x:v>UI-01 CANDIDATE EVIDENCE</x:v>
      </x:c>
      <x:c r="F4" s="561" t="str">
        <x:v>UI-01 CANDIDATE EVIDENCE</x:v>
      </x:c>
      <x:c r="G4" s="561" t="str">
        <x:v>UI-01 CANDIDATE EVIDENCE</x:v>
      </x:c>
      <x:c r="H4" s="561" t="str">
        <x:v>UI-01 CANDIDATE EVIDENCE</x:v>
      </x:c>
    </x:row>
    <x:row r="5" ht="38" customHeight="1">
      <x:c r="A5" s="555" t="str">
        <x:v>UI-01 status</x:v>
      </x:c>
      <x:c r="B5" s="559" t="str">
        <x:v>Approved and locked · 2026-08-23</x:v>
      </x:c>
      <x:c r="D5" s="558" t="str">
        <x:v>Components specified</x:v>
      </x:c>
      <x:c r="E5" s="562" t="n">
        <x:f>COUNTA('UI01 Component Inventory'!A5:A44)</x:f>
        <x:v>40</x:v>
      </x:c>
      <x:c r="G5" s="564" t="str">
        <x:v>BROWSER-NATIVE</x:v>
      </x:c>
      <x:c r="H5" s="564" t="str">
        <x:v>BROWSER-NATIVE</x:v>
      </x:c>
    </x:row>
    <x:row r="6" ht="38" customHeight="1">
      <x:c r="A6" s="555" t="str">
        <x:v>Primary target</x:v>
      </x:c>
      <x:c r="B6" s="559" t="str">
        <x:v>Desktop browser · responsive capability parity</x:v>
      </x:c>
      <x:c r="D6" s="558" t="str">
        <x:v>World shell</x:v>
      </x:c>
      <x:c r="E6" s="562" t="n">
        <x:f>COUNTIF('UI01 Component Inventory'!C5:C44,"World shell")</x:f>
        <x:v>7</x:v>
      </x:c>
      <x:c r="G6"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c r="H6"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row>
    <x:row r="7" ht="38" customHeight="1">
      <x:c r="A7" s="555" t="str">
        <x:v>World-time model</x:v>
      </x:c>
      <x:c r="B7" s="559" t="str">
        <x:v>Ledger Time</x:v>
      </x:c>
      <x:c r="D7" s="558" t="str">
        <x:v>Core loop</x:v>
      </x:c>
      <x:c r="E7" s="562" t="n">
        <x:f>COUNTIF('UI01 Component Inventory'!C5:C44,"Core loop")</x:f>
        <x:v>13</x:v>
      </x:c>
      <x:c r="G7"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c r="H7"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row>
    <x:row r="8" ht="38" customHeight="1">
      <x:c r="A8" s="555" t="str">
        <x:v>Workspace model</x:v>
      </x:c>
      <x:c r="B8" s="559" t="str">
        <x:v>Adaptive Living World Stage</x:v>
      </x:c>
      <x:c r="D8" s="558" t="str">
        <x:v>Systems</x:v>
      </x:c>
      <x:c r="E8" s="562" t="n">
        <x:f>COUNTIF('UI01 Component Inventory'!C5:C44,"Systems")</x:f>
        <x:v>14</x:v>
      </x:c>
      <x:c r="G8"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c r="H8"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row>
    <x:row r="9" ht="38" customHeight="1">
      <x:c r="A9" s="555" t="str">
        <x:v>Design workflow</x:v>
      </x:c>
      <x:c r="B9" s="559" t="str">
        <x:v>Code-native and Figma-free</x:v>
      </x:c>
      <x:c r="D9" s="558" t="str">
        <x:v>Accessibility</x:v>
      </x:c>
      <x:c r="E9" s="562" t="n">
        <x:f>COUNTIF('UI01 Component Inventory'!C5:C44,"Accessibility")</x:f>
        <x:v>6</x:v>
      </x:c>
      <x:c r="G9"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c r="H9"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row>
    <x:row r="10" ht="38" customHeight="1">
      <x:c r="A10" s="555" t="str">
        <x:v>Production authorization</x:v>
      </x:c>
      <x:c r="B10" s="559" t="str">
        <x:v>CLOSED</x:v>
      </x:c>
      <x:c r="D10" s="558" t="str">
        <x:v>Global semantic states</x:v>
      </x:c>
      <x:c r="E10" s="562" t="n">
        <x:v>6</x:v>
      </x:c>
      <x:c r="G10"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c r="H10" s="565" t="str">
        <x:v>The reference opens on a playable Stage specimen rather than a marketing page: world orientation, scene geography, exact speech, inspectable markers, Context Lens, free Goal/Method intent, relevant possibilities, interpretation and forecast. The catalog is searchable and every component exposes props, states, responsive rules and accessibility semantics.</x:v>
      </x:c>
    </x:row>
    <x:row r="11" ht="24" customHeight="1"/>
    <x:row r="12" ht="24" customHeight="1">
      <x:c r="A12" s="574" t="str">
        <x:v>LIBRARY-WIDE CONTRACTS</x:v>
      </x:c>
      <x:c r="B12" s="575" t="str">
        <x:v>LIBRARY-WIDE CONTRACTS</x:v>
      </x:c>
      <x:c r="C12" s="575" t="str">
        <x:v>LIBRARY-WIDE CONTRACTS</x:v>
      </x:c>
      <x:c r="D12" s="575" t="str">
        <x:v>LIBRARY-WIDE CONTRACTS</x:v>
      </x:c>
      <x:c r="E12" s="575" t="str">
        <x:v>LIBRARY-WIDE CONTRACTS</x:v>
      </x:c>
      <x:c r="F12" s="575" t="str">
        <x:v>LIBRARY-WIDE CONTRACTS</x:v>
      </x:c>
      <x:c r="G12" s="575" t="str">
        <x:v>LIBRARY-WIDE CONTRACTS</x:v>
      </x:c>
      <x:c r="H12" s="576" t="str">
        <x:v>LIBRARY-WIDE CONTRACTS</x:v>
      </x:c>
    </x:row>
    <x:row r="13" ht="24" customHeight="1">
      <x:c r="A13" s="582" t="str">
        <x:v>1</x:v>
      </x:c>
      <x:c r="B13" s="583" t="str">
        <x:v>Not a chatbot skin</x:v>
      </x:c>
      <x:c r="C13" s="581" t="str">
        <x:v>Free language is one game control inside an explorable, stateful RPG loop; the Chronicle is a record, not the gravitational center.</x:v>
      </x:c>
      <x:c r="D13" s="581"/>
      <x:c r="E13" s="581"/>
      <x:c r="F13" s="581"/>
      <x:c r="G13" s="581"/>
      <x:c r="H13" s="581"/>
    </x:row>
    <x:row r="14" ht="24" customHeight="1">
      <x:c r="A14" s="587" t="str">
        <x:v>2</x:v>
      </x:c>
      <x:c r="B14" s="588" t="str">
        <x:v>Progressive disclosure</x:v>
      </x:c>
      <x:c r="C14" s="586" t="str">
        <x:v>Relevance changes emphasis and explanation, never legal permission or the set of valid player intentions.</x:v>
      </x:c>
      <x:c r="D14" s="586"/>
      <x:c r="E14" s="586"/>
      <x:c r="F14" s="586"/>
      <x:c r="G14" s="586"/>
      <x:c r="H14" s="586"/>
    </x:row>
    <x:row r="15" ht="24" customHeight="1">
      <x:c r="A15" s="582" t="str">
        <x:v>3</x:v>
      </x:c>
      <x:c r="B15" s="583" t="str">
        <x:v>Projection safety</x:v>
      </x:c>
      <x:c r="C15" s="581" t="str">
        <x:v>Components present viewpoint-safe projections and immutable command proposals; they do not invent hidden truth or mutate canon.</x:v>
      </x:c>
      <x:c r="D15" s="581"/>
      <x:c r="E15" s="581"/>
      <x:c r="F15" s="581"/>
      <x:c r="G15" s="581"/>
      <x:c r="H15" s="581"/>
    </x:row>
    <x:row r="16" ht="24" customHeight="1">
      <x:c r="A16" s="587" t="str">
        <x:v>4</x:v>
      </x:c>
      <x:c r="B16" s="588" t="str">
        <x:v>State honesty</x:v>
      </x:c>
      <x:c r="C16" s="586" t="str">
        <x:v>Loading, empty, stale, conflict, recovery and unavailable states name what happened and preserve the safest next action.</x:v>
      </x:c>
      <x:c r="D16" s="586"/>
      <x:c r="E16" s="586"/>
      <x:c r="F16" s="586"/>
      <x:c r="G16" s="586"/>
      <x:c r="H16" s="586"/>
    </x:row>
    <x:row r="17" ht="24" customHeight="1">
      <x:c r="A17" s="582" t="str">
        <x:v>5</x:v>
      </x:c>
      <x:c r="B17" s="583" t="str">
        <x:v>Capability parity</x:v>
      </x:c>
      <x:c r="C17" s="581" t="str">
        <x:v>Compact, zoomed, high-contrast, reduced-motion and alternate-input presentations retain the same core capability.</x:v>
      </x:c>
      <x:c r="D17" s="581"/>
      <x:c r="E17" s="581"/>
      <x:c r="F17" s="581"/>
      <x:c r="G17" s="581"/>
      <x:c r="H17" s="581"/>
    </x:row>
    <x:row r="18" ht="24" customHeight="1">
      <x:c r="A18" s="587" t="str">
        <x:v>6</x:v>
      </x:c>
      <x:c r="B18" s="588" t="str">
        <x:v>Desktop first</x:v>
      </x:c>
      <x:c r="C18" s="586" t="str">
        <x:v>The browser desktop defines reference density; 980px and 720px breakpoints recompose rather than remove controls.</x:v>
      </x:c>
      <x:c r="D18" s="586"/>
      <x:c r="E18" s="586"/>
      <x:c r="F18" s="586"/>
      <x:c r="G18" s="586"/>
      <x:c r="H18" s="586"/>
    </x:row>
    <x:row r="19" ht="24" customHeight="1"/>
    <x:row r="20" ht="24" customHeight="1">
      <x:c r="A20" s="590" t="str">
        <x:v>UI-01 APPROVED BOUNDARY</x:v>
      </x:c>
      <x:c r="B20" s="590" t="str">
        <x:v>UI-01 APPROVAL BOUNDARY</x:v>
      </x:c>
      <x:c r="C20" s="590" t="str">
        <x:v>UI-01 APPROVAL BOUNDARY</x:v>
      </x:c>
      <x:c r="D20" s="590" t="str">
        <x:v>UI-01 APPROVAL BOUNDARY</x:v>
      </x:c>
      <x:c r="E20" s="590" t="str">
        <x:v>UI-01 APPROVAL BOUNDARY</x:v>
      </x:c>
      <x:c r="F20" s="590" t="str">
        <x:v>UI-01 APPROVAL BOUNDARY</x:v>
      </x:c>
      <x:c r="G20" s="590" t="str">
        <x:v>UI-01 APPROVAL BOUNDARY</x:v>
      </x:c>
      <x:c r="H20" s="590" t="str">
        <x:v>UI-01 APPROVAL BOUNDARY</x:v>
      </x:c>
    </x:row>
    <x:row r="21" ht="24" customHeight="1">
      <x:c r="A21" s="594" t="str">
        <x:v>Product-owner approval on 2026-08-23 locks the 40-component code-native library, token system, semantic state grammar, responsive composition rules, accessibility semantics and interactive browser reference. This approval authorizes UI-02 final high-fidelity screen/state variants. It does not authorize production frontend construction, live engine integration, deployment, provider selection, public release or the clean-session Codex execution run.</x:v>
      </x:c>
      <x:c r="B21"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C21"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D21"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E21"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F21"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G21"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H21"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row>
    <x:row r="22" ht="24" customHeight="1">
      <x:c r="A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B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C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D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E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F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G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H22"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row>
    <x:row r="23" ht="24" customHeight="1">
      <x:c r="A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B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C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D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E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F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G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H23"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row>
    <x:row r="24" ht="24" customHeight="1">
      <x:c r="A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B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C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D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E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F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G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c r="H24" s="594" t="str">
        <x:v>Approval will lock the 40-component code-native library, its token system, semantic state grammar, responsive composition rules, accessibility semantics and interactive browser reference. It will authorize UI-02 final high-fidelity screen/state variants. It will not authorize production frontend construction, live engine integration, deployment, provider selection, public release or the clean-session Codex execution run.</x:v>
      </x:c>
    </x:row>
  </x:sheetData>
  <x:mergeCells>
    <x:mergeCell ref="A1:H1"/>
    <x:mergeCell ref="A2:H2"/>
    <x:mergeCell ref="D4:H4"/>
    <x:mergeCell ref="G5:H5"/>
    <x:mergeCell ref="G6:H10"/>
    <x:mergeCell ref="A12:H12"/>
    <x:mergeCell ref="C13:H13"/>
    <x:mergeCell ref="C14:H14"/>
    <x:mergeCell ref="C15:H15"/>
    <x:mergeCell ref="C16:H16"/>
    <x:mergeCell ref="C17:H17"/>
    <x:mergeCell ref="C18:H18"/>
    <x:mergeCell ref="A20:H20"/>
    <x:mergeCell ref="A21:H24"/>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25" hidden="0" customWidth="1"/>
    <x:col min="3" max="3" width="17" hidden="0" customWidth="1"/>
    <x:col min="4" max="4" width="40" hidden="0" customWidth="1"/>
    <x:col min="5" max="5" width="35" hidden="0" customWidth="1"/>
    <x:col min="6" max="6" width="32" hidden="0" customWidth="1"/>
    <x:col min="7" max="7" width="46" hidden="0" customWidth="1"/>
    <x:col min="8" max="8" width="46" hidden="0" customWidth="1"/>
    <x:col min="9" max="9" width="14" hidden="0" customWidth="1"/>
  </x:cols>
  <x:sheetData>
    <x:row r="1">
      <x:c r="A1" s="547" t="str">
        <x:v>UI-01 • 40-COMPONENT CODE-NATIVE INVENTORY</x:v>
      </x:c>
      <x:c r="B1" s="547" t="str">
        <x:v>UI-01 • 40-COMPONENT CODE-NATIVE INVENTORY</x:v>
      </x:c>
      <x:c r="C1" s="547" t="str">
        <x:v>UI-01 • 40-COMPONENT CODE-NATIVE INVENTORY</x:v>
      </x:c>
      <x:c r="D1" s="547" t="str">
        <x:v>UI-01 • 40-COMPONENT CODE-NATIVE INVENTORY</x:v>
      </x:c>
      <x:c r="E1" s="547" t="str">
        <x:v>UI-01 • 40-COMPONENT CODE-NATIVE INVENTORY</x:v>
      </x:c>
      <x:c r="F1" s="547" t="str">
        <x:v>UI-01 • 40-COMPONENT CODE-NATIVE INVENTORY</x:v>
      </x:c>
      <x:c r="G1" s="547" t="str">
        <x:v>UI-01 • 40-COMPONENT CODE-NATIVE INVENTORY</x:v>
      </x:c>
      <x:c r="H1" s="547" t="str">
        <x:v>UI-01 • 40-COMPONENT CODE-NATIVE INVENTORY</x:v>
      </x:c>
      <x:c r="I1" s="547" t="str">
        <x:v>UI-01 • 40-COMPONENT CODE-NATIVE INVENTORY</x:v>
      </x:c>
    </x:row>
    <x:row r="2">
      <x:c r="A2" s="551" t="str">
        <x:v>Every component documents purpose, props, interactive states, responsive behavior and accessibility semantics</x:v>
      </x:c>
      <x:c r="B2" s="551" t="str">
        <x:v>Every component documents purpose, props, interactive states, responsive behavior and accessibility semantics</x:v>
      </x:c>
      <x:c r="C2" s="551" t="str">
        <x:v>Every component documents purpose, props, interactive states, responsive behavior and accessibility semantics</x:v>
      </x:c>
      <x:c r="D2" s="551" t="str">
        <x:v>Every component documents purpose, props, interactive states, responsive behavior and accessibility semantics</x:v>
      </x:c>
      <x:c r="E2" s="551" t="str">
        <x:v>Every component documents purpose, props, interactive states, responsive behavior and accessibility semantics</x:v>
      </x:c>
      <x:c r="F2" s="551" t="str">
        <x:v>Every component documents purpose, props, interactive states, responsive behavior and accessibility semantics</x:v>
      </x:c>
      <x:c r="G2" s="551" t="str">
        <x:v>Every component documents purpose, props, interactive states, responsive behavior and accessibility semantics</x:v>
      </x:c>
      <x:c r="H2" s="551" t="str">
        <x:v>Every component documents purpose, props, interactive states, responsive behavior and accessibility semantics</x:v>
      </x:c>
      <x:c r="I2" s="551" t="str">
        <x:v>Every component documents purpose, props, interactive states, responsive behavior and accessibility semantics</x:v>
      </x:c>
    </x:row>
    <x:row r="4">
      <x:c r="A4" s="574" t="str">
        <x:v>Component ID</x:v>
      </x:c>
      <x:c r="B4" s="575" t="str">
        <x:v>Component</x:v>
      </x:c>
      <x:c r="C4" s="575" t="str">
        <x:v>Family</x:v>
      </x:c>
      <x:c r="D4" s="575" t="str">
        <x:v>Purpose</x:v>
      </x:c>
      <x:c r="E4" s="575" t="str">
        <x:v>Props</x:v>
      </x:c>
      <x:c r="F4" s="575" t="str">
        <x:v>States</x:v>
      </x:c>
      <x:c r="G4" s="575" t="str">
        <x:v>Responsive Rule</x:v>
      </x:c>
      <x:c r="H4" s="575" t="str">
        <x:v>Accessibility Semantics</x:v>
      </x:c>
      <x:c r="I4" s="576" t="str">
        <x:v>Status</x:v>
      </x:c>
    </x:row>
    <x:row r="5" ht="70" customHeight="1">
      <x:c r="A5" s="581" t="str">
        <x:v>CMP-01</x:v>
      </x:c>
      <x:c r="B5" s="581" t="str">
        <x:v>World Strip</x:v>
      </x:c>
      <x:c r="C5" s="581" t="str">
        <x:v>World shell</x:v>
      </x:c>
      <x:c r="D5" s="581" t="str">
        <x:v>Keeps Ledger Time, viewpoint, weather, pressure and world status continuously legible.</x:v>
      </x:c>
      <x:c r="E5" s="581" t="str">
        <x:v>ledgerTime, viewpoint, weather, pressure, status</x:v>
      </x:c>
      <x:c r="F5" s="581" t="str">
        <x:v>current, changed, urgent, offline</x:v>
      </x:c>
      <x:c r="G5" s="581" t="str">
        <x:v>Sticky full-width strip; compact mode wraps facts into two labeled rows.</x:v>
      </x:c>
      <x:c r="H5" s="581" t="str">
        <x:v>A named world-status region; updates announce once without taking focus.</x:v>
      </x:c>
      <x:c r="I5" s="604" t="str">
        <x:v>Approved</x:v>
      </x:c>
    </x:row>
    <x:row r="6" ht="70" customHeight="1">
      <x:c r="A6" s="586" t="str">
        <x:v>CMP-02</x:v>
      </x:c>
      <x:c r="B6" s="586" t="str">
        <x:v>Campaign Rail</x:v>
      </x:c>
      <x:c r="C6" s="586" t="str">
        <x:v>World shell</x:v>
      </x:c>
      <x:c r="D6" s="586" t="str">
        <x:v>Provides six stable destinations while keeping the Stage as the gravitational center.</x:v>
      </x:c>
      <x:c r="E6" s="586" t="str">
        <x:v>destinations, activeId, attention, collapsed</x:v>
      </x:c>
      <x:c r="F6" s="586" t="str">
        <x:v>default, active, attention, collapsed</x:v>
      </x:c>
      <x:c r="G6" s="586" t="str">
        <x:v>Persistent desktop rail; below 980px becomes a labeled horizontal destination bar.</x:v>
      </x:c>
      <x:c r="H6" s="586" t="str">
        <x:v>Primary navigation with current-page state and text labels at every density.</x:v>
      </x:c>
      <x:c r="I6" s="604" t="str">
        <x:v>Approved</x:v>
      </x:c>
    </x:row>
    <x:row r="7" ht="70" customHeight="1">
      <x:c r="A7" s="581" t="str">
        <x:v>CMP-03</x:v>
      </x:c>
      <x:c r="B7" s="581" t="str">
        <x:v>Active Surface Header</x:v>
      </x:c>
      <x:c r="C7" s="581" t="str">
        <x:v>World shell</x:v>
      </x:c>
      <x:c r="D7" s="581" t="str">
        <x:v>Names the current surface, viewpoint, knowledge class and fixture boundary.</x:v>
      </x:c>
      <x:c r="E7" s="581" t="str">
        <x:v>title, viewpoint, knowledgeClass, fixture</x:v>
      </x:c>
      <x:c r="F7" s="581" t="str">
        <x:v>ready, loading, stale, conflict</x:v>
      </x:c>
      <x:c r="G7" s="581" t="str">
        <x:v>Title and boundary remain visible; metadata moves to a second line when narrow.</x:v>
      </x:c>
      <x:c r="H7" s="581" t="str">
        <x:v>Level-one heading followed by a concise status description.</x:v>
      </x:c>
      <x:c r="I7" s="604" t="str">
        <x:v>Approved</x:v>
      </x:c>
    </x:row>
    <x:row r="8" ht="70" customHeight="1">
      <x:c r="A8" s="586" t="str">
        <x:v>CMP-04</x:v>
      </x:c>
      <x:c r="B8" s="586" t="str">
        <x:v>Context Lens</x:v>
      </x:c>
      <x:c r="C8" s="586" t="str">
        <x:v>World shell</x:v>
      </x:c>
      <x:c r="D8" s="586" t="str">
        <x:v>Lets players inspect an entity without leaving the living world.</x:v>
      </x:c>
      <x:c r="E8" s="586" t="str">
        <x:v>entity, facts, evidence, actions</x:v>
      </x:c>
      <x:c r="F8" s="586" t="str">
        <x:v>closed, open, loading, unavailable</x:v>
      </x:c>
      <x:c r="G8" s="586" t="str">
        <x:v>Desktop right rail; compact layouts use a non-modal disclosure below the Stage.</x:v>
      </x:c>
      <x:c r="H8" s="586" t="str">
        <x:v>Named complementary region; disclosure preserves focus and reading position.</x:v>
      </x:c>
      <x:c r="I8" s="604" t="str">
        <x:v>Approved</x:v>
      </x:c>
    </x:row>
    <x:row r="9" ht="70" customHeight="1">
      <x:c r="A9" s="581" t="str">
        <x:v>CMP-05</x:v>
      </x:c>
      <x:c r="B9" s="581" t="str">
        <x:v>Intent Dock</x:v>
      </x:c>
      <x:c r="C9" s="581" t="str">
        <x:v>Core loop</x:v>
      </x:c>
      <x:c r="D9" s="581" t="str">
        <x:v>Captures free goal and method as game control, never as a chat composer.</x:v>
      </x:c>
      <x:c r="E9" s="581" t="str">
        <x:v>goal, method, objects, draftState</x:v>
      </x:c>
      <x:c r="F9" s="581" t="str">
        <x:v>empty, drafting, interpreted, blocked</x:v>
      </x:c>
      <x:c r="G9" s="581" t="str">
        <x:v>Anchored to Stage on desktop; flows after scene content on compact screens.</x:v>
      </x:c>
      <x:c r="H9" s="581" t="str">
        <x:v>Explicit Goal and Method labels, draft status and keyboard-accessible submit path.</x:v>
      </x:c>
      <x:c r="I9" s="604" t="str">
        <x:v>Approved</x:v>
      </x:c>
    </x:row>
    <x:row r="10" ht="70" customHeight="1">
      <x:c r="A10" s="586" t="str">
        <x:v>CMP-06</x:v>
      </x:c>
      <x:c r="B10" s="586" t="str">
        <x:v>Chronicle Ribbon</x:v>
      </x:c>
      <x:c r="C10" s="586" t="str">
        <x:v>World shell</x:v>
      </x:c>
      <x:c r="D10" s="586" t="str">
        <x:v>Shows recent canon and provenance without turning play into a transcript.</x:v>
      </x:c>
      <x:c r="E10" s="586" t="str">
        <x:v>entries, provenance, expanded, unread</x:v>
      </x:c>
      <x:c r="F10" s="586" t="str">
        <x:v>empty, recent, expanded, stale</x:v>
      </x:c>
      <x:c r="G10" s="586" t="str">
        <x:v>Single-line ribbon expands in place; never becomes the primary column.</x:v>
      </x:c>
      <x:c r="H10" s="586" t="str">
        <x:v>Ordered record region with meaningful timestamps and an unread count.</x:v>
      </x:c>
      <x:c r="I10" s="604" t="str">
        <x:v>Approved</x:v>
      </x:c>
    </x:row>
    <x:row r="11" ht="70" customHeight="1">
      <x:c r="A11" s="581" t="str">
        <x:v>CMP-07</x:v>
      </x:c>
      <x:c r="B11" s="581" t="str">
        <x:v>Attention Notice</x:v>
      </x:c>
      <x:c r="C11" s="581" t="str">
        <x:v>World shell</x:v>
      </x:c>
      <x:c r="D11" s="581" t="str">
        <x:v>Calls out due, changed or unavailable state using label, shape and color together.</x:v>
      </x:c>
      <x:c r="E11" s="581" t="str">
        <x:v>kind, title, detail, action</x:v>
      </x:c>
      <x:c r="F11" s="581" t="str">
        <x:v>due, changed, unavailable, resolved</x:v>
      </x:c>
      <x:c r="G11" s="581" t="str">
        <x:v>Inline or stacked banner; action remains adjacent to its explanation.</x:v>
      </x:c>
      <x:c r="H11" s="581" t="str">
        <x:v>Status or alert role is chosen by urgency; icon is never the only cue.</x:v>
      </x:c>
      <x:c r="I11" s="604" t="str">
        <x:v>Approved</x:v>
      </x:c>
    </x:row>
    <x:row r="12" ht="70" customHeight="1">
      <x:c r="A12" s="586" t="str">
        <x:v>CMP-08</x:v>
      </x:c>
      <x:c r="B12" s="586" t="str">
        <x:v>Draft Preservation Bar</x:v>
      </x:c>
      <x:c r="C12" s="586" t="str">
        <x:v>World shell</x:v>
      </x:c>
      <x:c r="D12" s="586" t="str">
        <x:v>Confirms uncommitted work survives navigation, interruption and reconnect.</x:v>
      </x:c>
      <x:c r="E12" s="586" t="str">
        <x:v>draftName, savedAt, syncState, restoreAction</x:v>
      </x:c>
      <x:c r="F12" s="586" t="str">
        <x:v>saved, saving, offline, restored</x:v>
      </x:c>
      <x:c r="G12" s="586" t="str">
        <x:v>Pinned beneath the relevant surface header; shortens copy, not capability.</x:v>
      </x:c>
      <x:c r="H12" s="586" t="str">
        <x:v>Polite live status; restore action has an explicit target name.</x:v>
      </x:c>
      <x:c r="I12" s="604" t="str">
        <x:v>Approved</x:v>
      </x:c>
    </x:row>
    <x:row r="13" ht="70" customHeight="1">
      <x:c r="A13" s="581" t="str">
        <x:v>CMP-09</x:v>
      </x:c>
      <x:c r="B13" s="581" t="str">
        <x:v>Scene Frame</x:v>
      </x:c>
      <x:c r="C13" s="581" t="str">
        <x:v>Core loop</x:v>
      </x:c>
      <x:c r="D13" s="581" t="str">
        <x:v>Presents geography, actors, objects and continuity as an explorable scene.</x:v>
      </x:c>
      <x:c r="E13" s="581" t="str">
        <x:v>location, actors, objects, continuity</x:v>
      </x:c>
      <x:c r="F13" s="581" t="str">
        <x:v>loading, ready, changed, recovery</x:v>
      </x:c>
      <x:c r="G13" s="581" t="str">
        <x:v>Wide atmospheric frame becomes a vertical fact stack without hiding objects.</x:v>
      </x:c>
      <x:c r="H13" s="581" t="str">
        <x:v>Scene heading and structured lists precede any decorative treatment.</x:v>
      </x:c>
      <x:c r="I13" s="604" t="str">
        <x:v>Approved</x:v>
      </x:c>
    </x:row>
    <x:row r="14" ht="70" customHeight="1">
      <x:c r="A14" s="586" t="str">
        <x:v>CMP-10</x:v>
      </x:c>
      <x:c r="B14" s="586" t="str">
        <x:v>Exact Speech Block</x:v>
      </x:c>
      <x:c r="C14" s="586" t="str">
        <x:v>Core loop</x:v>
      </x:c>
      <x:c r="D14" s="586" t="str">
        <x:v>Binds exact dialogue to its speaker without rewriting or summarizing it.</x:v>
      </x:c>
      <x:c r="E14" s="586" t="str">
        <x:v>speaker, speech, tone, source</x:v>
      </x:c>
      <x:c r="F14" s="586" t="str">
        <x:v>speaking, heard, translated, unavailable</x:v>
      </x:c>
      <x:c r="G14" s="586" t="str">
        <x:v>Readable measure is capped; speaker and quote stay inseparable.</x:v>
      </x:c>
      <x:c r="H14" s="586" t="str">
        <x:v>Block quote with programmatic speaker attribution; punctuation is preserved.</x:v>
      </x:c>
      <x:c r="I14" s="604" t="str">
        <x:v>Approved</x:v>
      </x:c>
    </x:row>
    <x:row r="15" ht="70" customHeight="1">
      <x:c r="A15" s="581" t="str">
        <x:v>CMP-11</x:v>
      </x:c>
      <x:c r="B15" s="581" t="str">
        <x:v>Meaningful Marker</x:v>
      </x:c>
      <x:c r="C15" s="581" t="str">
        <x:v>Core loop</x:v>
      </x:c>
      <x:c r="D15" s="581" t="str">
        <x:v>Makes a scene fact inspectable without presenting a command menu.</x:v>
      </x:c>
      <x:c r="E15" s="581" t="str">
        <x:v>label, kind, confidence, target</x:v>
      </x:c>
      <x:c r="F15" s="581" t="str">
        <x:v>known, uncertain, changed, selected</x:v>
      </x:c>
      <x:c r="G15" s="581" t="str">
        <x:v>Markers become labeled chips in reading order when spatial placement is unavailable.</x:v>
      </x:c>
      <x:c r="H15" s="581" t="str">
        <x:v>Button name states the entity and meaning; confidence is spoken as text.</x:v>
      </x:c>
      <x:c r="I15" s="604" t="str">
        <x:v>Approved</x:v>
      </x:c>
    </x:row>
    <x:row r="16" ht="70" customHeight="1">
      <x:c r="A16" s="586" t="str">
        <x:v>CMP-12</x:v>
      </x:c>
      <x:c r="B16" s="586" t="str">
        <x:v>Contextual Possibility</x:v>
      </x:c>
      <x:c r="C16" s="586" t="str">
        <x:v>Core loop</x:v>
      </x:c>
      <x:c r="D16" s="586" t="str">
        <x:v>Surfaces relevant affordances without implying a complete legal-action list.</x:v>
      </x:c>
      <x:c r="E16" s="586" t="str">
        <x:v>possibility, reason, scope, apply</x:v>
      </x:c>
      <x:c r="F16" s="586" t="str">
        <x:v>suggested, inspected, applied, expired</x:v>
      </x:c>
      <x:c r="G16" s="586" t="str">
        <x:v>Two-column suggestion row becomes a scroll-free vertical list.</x:v>
      </x:c>
      <x:c r="H16" s="586" t="str">
        <x:v>Introduced as examples, not exhaustive choices; each action describes its effect.</x:v>
      </x:c>
      <x:c r="I16" s="604" t="str">
        <x:v>Approved</x:v>
      </x:c>
    </x:row>
    <x:row r="17" ht="70" customHeight="1">
      <x:c r="A17" s="581" t="str">
        <x:v>CMP-13</x:v>
      </x:c>
      <x:c r="B17" s="581" t="str">
        <x:v>Interpreted Action Packet</x:v>
      </x:c>
      <x:c r="C17" s="581" t="str">
        <x:v>Core loop</x:v>
      </x:c>
      <x:c r="D17" s="581" t="str">
        <x:v>Shows goal, method, objects and assumptions in a correctable packet.</x:v>
      </x:c>
      <x:c r="E17" s="581" t="str">
        <x:v>goal, method, objects, assumptions, edit</x:v>
      </x:c>
      <x:c r="F17" s="581" t="str">
        <x:v>interpreting, ready, correcting, conflict</x:v>
      </x:c>
      <x:c r="G17" s="581" t="str">
        <x:v>Four labeled fields stay visible; controls stack beneath their field.</x:v>
      </x:c>
      <x:c r="H17" s="581" t="str">
        <x:v>Definition-list structure; changed assumptions receive a text cue and focusable edit.</x:v>
      </x:c>
      <x:c r="I17" s="604" t="str">
        <x:v>Approved</x:v>
      </x:c>
    </x:row>
    <x:row r="18" ht="70" customHeight="1">
      <x:c r="A18" s="586" t="str">
        <x:v>CMP-14</x:v>
      </x:c>
      <x:c r="B18" s="586" t="str">
        <x:v>Knowable Forecast</x:v>
      </x:c>
      <x:c r="C18" s="586" t="str">
        <x:v>Core loop</x:v>
      </x:c>
      <x:c r="D18" s="586" t="str">
        <x:v>Previews only accessible time, cost, exposure and uncertainty.</x:v>
      </x:c>
      <x:c r="E18" s="586" t="str">
        <x:v>time, cost, exposure, uncertainty, basis</x:v>
      </x:c>
      <x:c r="F18" s="586" t="str">
        <x:v>available, partial, uncertain, unavailable</x:v>
      </x:c>
      <x:c r="G18" s="586" t="str">
        <x:v>Four facts wrap as equal cards; unknown values are labeled, never blank.</x:v>
      </x:c>
      <x:c r="H18" s="586" t="str">
        <x:v>Forecast has a heading, source note and explicit unknown/estimated language.</x:v>
      </x:c>
      <x:c r="I18" s="604" t="str">
        <x:v>Approved</x:v>
      </x:c>
    </x:row>
    <x:row r="19" ht="70" customHeight="1">
      <x:c r="A19" s="581" t="str">
        <x:v>CMP-15</x:v>
      </x:c>
      <x:c r="B19" s="581" t="str">
        <x:v>Adaptive Commit</x:v>
      </x:c>
      <x:c r="C19" s="581" t="str">
        <x:v>Core loop</x:v>
      </x:c>
      <x:c r="D19" s="581" t="str">
        <x:v>Matches commitment depth to the material consequence of an action.</x:v>
      </x:c>
      <x:c r="E19" s="581" t="str">
        <x:v>level, summary, consequences, confirm</x:v>
      </x:c>
      <x:c r="F19" s="581" t="str">
        <x:v>light, material, irreversible, blocked</x:v>
      </x:c>
      <x:c r="G19" s="581" t="str">
        <x:v>Confirmation expands in place; irreversible copy remains visible beside the action.</x:v>
      </x:c>
      <x:c r="H19" s="581" t="str">
        <x:v>Button names the commitment; destructive or irreversible consequences are announced first.</x:v>
      </x:c>
      <x:c r="I19" s="604" t="str">
        <x:v>Approved</x:v>
      </x:c>
    </x:row>
    <x:row r="20" ht="70" customHeight="1">
      <x:c r="A20" s="586" t="str">
        <x:v>CMP-16</x:v>
      </x:c>
      <x:c r="B20" s="586" t="str">
        <x:v>Resolution Beat</x:v>
      </x:c>
      <x:c r="C20" s="586" t="str">
        <x:v>Core loop</x:v>
      </x:c>
      <x:c r="D20" s="586" t="str">
        <x:v>Connects cause and result in a brief, skippable, motion-safe beat.</x:v>
      </x:c>
      <x:c r="E20" s="586" t="str">
        <x:v>steps, duration, skip, reducedMotion</x:v>
      </x:c>
      <x:c r="F20" s="586" t="str">
        <x:v>queued, playing, skipped, complete</x:v>
      </x:c>
      <x:c r="G20" s="586" t="str">
        <x:v>Uses the same content sequence at all sizes; motion is never required for meaning.</x:v>
      </x:c>
      <x:c r="H20" s="586" t="str">
        <x:v>Pause/skip controls and a textual final state; reduced motion removes transforms.</x:v>
      </x:c>
      <x:c r="I20" s="604" t="str">
        <x:v>Approved</x:v>
      </x:c>
    </x:row>
    <x:row r="21" ht="70" customHeight="1">
      <x:c r="A21" s="581" t="str">
        <x:v>CMP-17</x:v>
      </x:c>
      <x:c r="B21" s="581" t="str">
        <x:v>Outcome Receipt</x:v>
      </x:c>
      <x:c r="C21" s="581" t="str">
        <x:v>Core loop</x:v>
      </x:c>
      <x:c r="D21" s="581" t="str">
        <x:v>Explains an authoritative result with depth proportional to what changed.</x:v>
      </x:c>
      <x:c r="E21" s="581" t="str">
        <x:v>summary, causes, changes, receiptId</x:v>
      </x:c>
      <x:c r="F21" s="581" t="str">
        <x:v>success, mixed, failure, duplicate</x:v>
      </x:c>
      <x:c r="G21" s="581" t="str">
        <x:v>Summary remains first; causal details collapse under a labeled disclosure.</x:v>
      </x:c>
      <x:c r="H21" s="581" t="str">
        <x:v>Status heading, structured change list and stable receipt identifier.</x:v>
      </x:c>
      <x:c r="I21" s="604" t="str">
        <x:v>Approved</x:v>
      </x:c>
    </x:row>
    <x:row r="22" ht="70" customHeight="1">
      <x:c r="A22" s="586" t="str">
        <x:v>CMP-18</x:v>
      </x:c>
      <x:c r="B22" s="586" t="str">
        <x:v>Decision Window</x:v>
      </x:c>
      <x:c r="C22" s="586" t="str">
        <x:v>Core loop</x:v>
      </x:c>
      <x:c r="D22" s="586" t="str">
        <x:v>Names urgent closure time, cause and available responses without surprise.</x:v>
      </x:c>
      <x:c r="E22" s="586" t="str">
        <x:v>closesAt, cause, choices, default</x:v>
      </x:c>
      <x:c r="F22" s="586" t="str">
        <x:v>open, due, closing, closed</x:v>
      </x:c>
      <x:c r="G22" s="586" t="str">
        <x:v>Time and cause stay above choices; no horizontal countdown dependency.</x:v>
      </x:c>
      <x:c r="H22" s="586" t="str">
        <x:v>Time remaining is announced at meaningful thresholds, not every second.</x:v>
      </x:c>
      <x:c r="I22" s="604" t="str">
        <x:v>Approved</x:v>
      </x:c>
    </x:row>
    <x:row r="23" ht="70" customHeight="1">
      <x:c r="A23" s="581" t="str">
        <x:v>CMP-19</x:v>
      </x:c>
      <x:c r="B23" s="581" t="str">
        <x:v>Interrupt Queue</x:v>
      </x:c>
      <x:c r="C23" s="581" t="str">
        <x:v>Core loop</x:v>
      </x:c>
      <x:c r="D23" s="581" t="str">
        <x:v>Lets danger pause an action while preserving draft and canonical state.</x:v>
      </x:c>
      <x:c r="E23" s="581" t="str">
        <x:v>interrupts, draft, resume, priority</x:v>
      </x:c>
      <x:c r="F23" s="581" t="str">
        <x:v>clear, paused, resolving, resumed</x:v>
      </x:c>
      <x:c r="G23" s="581" t="str">
        <x:v>Appears between scene and intent; never overlays or erases the draft.</x:v>
      </x:c>
      <x:c r="H23" s="581" t="str">
        <x:v>Urgent alert followed by focusable choices; resume returns focus to the preserved draft.</x:v>
      </x:c>
      <x:c r="I23" s="604" t="str">
        <x:v>Approved</x:v>
      </x:c>
    </x:row>
    <x:row r="24" ht="70" customHeight="1">
      <x:c r="A24" s="586" t="str">
        <x:v>CMP-20</x:v>
      </x:c>
      <x:c r="B24" s="586" t="str">
        <x:v>Tactical Emphasis Strip</x:v>
      </x:c>
      <x:c r="C24" s="586" t="str">
        <x:v>Core loop</x:v>
      </x:c>
      <x:c r="D24" s="586" t="str">
        <x:v>Intensifies combat information without replacing the same geography.</x:v>
      </x:c>
      <x:c r="E24" s="586" t="str">
        <x:v>turn, range, threats, cover</x:v>
      </x:c>
      <x:c r="F24" s="586" t="str">
        <x:v>inactive, active, reaction, resolved</x:v>
      </x:c>
      <x:c r="G24" s="586" t="str">
        <x:v>Wraps tactical facts under the scene header; spatial equivalents become text rows.</x:v>
      </x:c>
      <x:c r="H24" s="586" t="str">
        <x:v>Tactical state uses headings and ordered turn information, not position or color alone.</x:v>
      </x:c>
      <x:c r="I24" s="604" t="str">
        <x:v>Approved</x:v>
      </x:c>
    </x:row>
    <x:row r="25" ht="70" customHeight="1">
      <x:c r="A25" s="581" t="str">
        <x:v>CMP-21</x:v>
      </x:c>
      <x:c r="B25" s="581" t="str">
        <x:v>BP Ledger</x:v>
      </x:c>
      <x:c r="C25" s="581" t="str">
        <x:v>Systems</x:v>
      </x:c>
      <x:c r="D25" s="581" t="str">
        <x:v>Makes Build Point source, spend, prerequisites and unspent balance auditable.</x:v>
      </x:c>
      <x:c r="E25" s="581" t="str">
        <x:v>sources, spends, prerequisites, balance</x:v>
      </x:c>
      <x:c r="F25" s="581" t="str">
        <x:v>balanced, unspent, invalid, conflict</x:v>
      </x:c>
      <x:c r="G25" s="581" t="str">
        <x:v>Desktop table becomes labeled ledger rows with totals retained.</x:v>
      </x:c>
      <x:c r="H25" s="581" t="str">
        <x:v>Captioned table or equivalent row semantics; errors reference the exact spend.</x:v>
      </x:c>
      <x:c r="I25" s="604" t="str">
        <x:v>Approved</x:v>
      </x:c>
    </x:row>
    <x:row r="26" ht="70" customHeight="1">
      <x:c r="A26" s="586" t="str">
        <x:v>CMP-22</x:v>
      </x:c>
      <x:c r="B26" s="586" t="str">
        <x:v>Condition / Wound Card</x:v>
      </x:c>
      <x:c r="C26" s="586" t="str">
        <x:v>Systems</x:v>
      </x:c>
      <x:c r="D26" s="586" t="str">
        <x:v>Separates fiction, severity, family, penalty and treatment.</x:v>
      </x:c>
      <x:c r="E26" s="586" t="str">
        <x:v>fiction, severity, family, penalty, treatment</x:v>
      </x:c>
      <x:c r="F26" s="586" t="str">
        <x:v>active, stabilized, treated, worsened</x:v>
      </x:c>
      <x:c r="G26" s="586" t="str">
        <x:v>Severity and family remain beside title; treatment flows below effects.</x:v>
      </x:c>
      <x:c r="H26" s="586" t="str">
        <x:v>Severity is written as text and not encoded solely by red or icon shape.</x:v>
      </x:c>
      <x:c r="I26" s="604" t="str">
        <x:v>Approved</x:v>
      </x:c>
    </x:row>
    <x:row r="27" ht="70" customHeight="1">
      <x:c r="A27" s="581" t="str">
        <x:v>CMP-23</x:v>
      </x:c>
      <x:c r="B27" s="581" t="str">
        <x:v>Relationship Card</x:v>
      </x:c>
      <x:c r="C27" s="581" t="str">
        <x:v>Systems</x:v>
      </x:c>
      <x:c r="D27" s="581" t="str">
        <x:v>Shows observable evidence and boundaries instead of obedience meters.</x:v>
      </x:c>
      <x:c r="E27" s="581" t="str">
        <x:v>person, evidence, boundaries, openQuestions</x:v>
      </x:c>
      <x:c r="F27" s="581" t="str">
        <x:v>known, changed, strained, unknown</x:v>
      </x:c>
      <x:c r="G27" s="581" t="str">
        <x:v>Evidence timeline condenses to recent evidence plus an expand control.</x:v>
      </x:c>
      <x:c r="H27" s="581" t="str">
        <x:v>No unlabeled numeric sentiment; evidence and boundary statements use plain language.</x:v>
      </x:c>
      <x:c r="I27" s="604" t="str">
        <x:v>Approved</x:v>
      </x:c>
    </x:row>
    <x:row r="28" ht="70" customHeight="1">
      <x:c r="A28" s="586" t="str">
        <x:v>CMP-24</x:v>
      </x:c>
      <x:c r="B28" s="586" t="str">
        <x:v>Relic Bond Card</x:v>
      </x:c>
      <x:c r="C28" s="586" t="str">
        <x:v>Systems</x:v>
      </x:c>
      <x:c r="D28" s="586" t="str">
        <x:v>Keeps custody, Claim, Attunement, Bond and agency distinct.</x:v>
      </x:c>
      <x:c r="E28" s="586" t="str">
        <x:v>relic, custody, claim, attunement, bond</x:v>
      </x:c>
      <x:c r="F28" s="586" t="str">
        <x:v>unclaimed, claimed, attuned, contested</x:v>
      </x:c>
      <x:c r="G28" s="586" t="str">
        <x:v>Five relationship facts become a labeled vertical sequence.</x:v>
      </x:c>
      <x:c r="H28" s="586" t="str">
        <x:v>Terms are expanded through definitions; agency state is stated separately.</x:v>
      </x:c>
      <x:c r="I28" s="604" t="str">
        <x:v>Approved</x:v>
      </x:c>
    </x:row>
    <x:row r="29" ht="70" customHeight="1">
      <x:c r="A29" s="581" t="str">
        <x:v>CMP-25</x:v>
      </x:c>
      <x:c r="B29" s="581" t="str">
        <x:v>Custody and Access Row</x:v>
      </x:c>
      <x:c r="C29" s="581" t="str">
        <x:v>Systems</x:v>
      </x:c>
      <x:c r="D29" s="581" t="str">
        <x:v>Separates owner, holder, location, authority and availability.</x:v>
      </x:c>
      <x:c r="E29" s="581" t="str">
        <x:v>owner, holder, location, authority, availability</x:v>
      </x:c>
      <x:c r="F29" s="581" t="str">
        <x:v>available, restricted, disputed, unknown</x:v>
      </x:c>
      <x:c r="G29" s="581" t="str">
        <x:v>Five columns collapse into a key/value row without semantic loss.</x:v>
      </x:c>
      <x:c r="H29" s="581" t="str">
        <x:v>Every value retains its label; unknown is announced explicitly.</x:v>
      </x:c>
      <x:c r="I29" s="604" t="str">
        <x:v>Approved</x:v>
      </x:c>
    </x:row>
    <x:row r="30" ht="70" customHeight="1">
      <x:c r="A30" s="586" t="str">
        <x:v>CMP-26</x:v>
      </x:c>
      <x:c r="B30" s="586" t="str">
        <x:v>Item Comparison</x:v>
      </x:c>
      <x:c r="C30" s="586" t="str">
        <x:v>Systems</x:v>
      </x:c>
      <x:c r="D30" s="586" t="str">
        <x:v>Compares task-relative tradeoffs without inventing a universal score.</x:v>
      </x:c>
      <x:c r="E30" s="586" t="str">
        <x:v>items, task, tradeoffs, evidence</x:v>
      </x:c>
      <x:c r="F30" s="586" t="str">
        <x:v>ready, partial, changed, unavailable</x:v>
      </x:c>
      <x:c r="G30" s="586" t="str">
        <x:v>Side-by-side comparison becomes item-first sections with repeated criteria.</x:v>
      </x:c>
      <x:c r="H30" s="586" t="str">
        <x:v>Criteria and item headers are associated; preferred is not color-only.</x:v>
      </x:c>
      <x:c r="I30" s="604" t="str">
        <x:v>Approved</x:v>
      </x:c>
    </x:row>
    <x:row r="31" ht="70" customHeight="1">
      <x:c r="A31" s="581" t="str">
        <x:v>CMP-27</x:v>
      </x:c>
      <x:c r="B31" s="581" t="str">
        <x:v>Craft / Repair Plan</x:v>
      </x:c>
      <x:c r="C31" s="581" t="str">
        <x:v>Systems</x:v>
      </x:c>
      <x:c r="D31" s="581" t="str">
        <x:v>Persists intervals, materials, facility and checkpoints as a durable plan.</x:v>
      </x:c>
      <x:c r="E31" s="581" t="str">
        <x:v>intervals, materials, facility, checkpoints</x:v>
      </x:c>
      <x:c r="F31" s="581" t="str">
        <x:v>draft, ready, inProgress, blocked</x:v>
      </x:c>
      <x:c r="G31" s="581" t="str">
        <x:v>Timeline becomes an ordered checklist with the same checkpoint data.</x:v>
      </x:c>
      <x:c r="H31" s="581" t="str">
        <x:v>Progress has text equivalents; missing prerequisites link to their field.</x:v>
      </x:c>
      <x:c r="I31" s="604" t="str">
        <x:v>Approved</x:v>
      </x:c>
    </x:row>
    <x:row r="32" ht="70" customHeight="1">
      <x:c r="A32" s="586" t="str">
        <x:v>CMP-28</x:v>
      </x:c>
      <x:c r="B32" s="586" t="str">
        <x:v>Route / Journey Card</x:v>
      </x:c>
      <x:c r="C32" s="586" t="str">
        <x:v>Systems</x:v>
      </x:c>
      <x:c r="D32" s="586" t="str">
        <x:v>Shows known legs, roles, supplies, stops and uncertainty.</x:v>
      </x:c>
      <x:c r="E32" s="586" t="str">
        <x:v>legs, roles, supplies, stops, uncertainty</x:v>
      </x:c>
      <x:c r="F32" s="586" t="str">
        <x:v>planned, underway, interrupted, arrived</x:v>
      </x:c>
      <x:c r="G32" s="586" t="str">
        <x:v>Map-adjacent route becomes a numbered leg list on compact layouts.</x:v>
      </x:c>
      <x:c r="H32" s="586" t="str">
        <x:v>Ordered legs and role assignments remain available without a visual map.</x:v>
      </x:c>
      <x:c r="I32" s="604" t="str">
        <x:v>Approved</x:v>
      </x:c>
    </x:row>
    <x:row r="33" ht="70" customHeight="1">
      <x:c r="A33" s="581" t="str">
        <x:v>CMP-29</x:v>
      </x:c>
      <x:c r="B33" s="581" t="str">
        <x:v>Knowledge-Safe Map</x:v>
      </x:c>
      <x:c r="C33" s="581" t="str">
        <x:v>Systems</x:v>
      </x:c>
      <x:c r="D33" s="581" t="str">
        <x:v>Displays believed position and confidence while omitting hidden coordinates.</x:v>
      </x:c>
      <x:c r="E33" s="581" t="str">
        <x:v>beliefs, confidence, knownPlaces, viewpoint</x:v>
      </x:c>
      <x:c r="F33" s="581" t="str">
        <x:v>known, estimated, stale, unavailable</x:v>
      </x:c>
      <x:c r="G33" s="581" t="str">
        <x:v>Graphical map pairs with a complete text place/route list.</x:v>
      </x:c>
      <x:c r="H33" s="581" t="str">
        <x:v>Equivalent structured geography; confidence and source are available per place.</x:v>
      </x:c>
      <x:c r="I33" s="604" t="str">
        <x:v>Approved</x:v>
      </x:c>
    </x:row>
    <x:row r="34" ht="70" customHeight="1">
      <x:c r="A34" s="586" t="str">
        <x:v>CMP-30</x:v>
      </x:c>
      <x:c r="B34" s="586" t="str">
        <x:v>Evidence Claim</x:v>
      </x:c>
      <x:c r="C34" s="586" t="str">
        <x:v>Systems</x:v>
      </x:c>
      <x:c r="D34" s="586" t="str">
        <x:v>Tracks source, custody, confidence and contradictions for a claim.</x:v>
      </x:c>
      <x:c r="E34" s="586" t="str">
        <x:v>claim, source, custody, confidence, contradictions</x:v>
      </x:c>
      <x:c r="F34" s="586" t="str">
        <x:v>supported, contested, contradicted, unverified</x:v>
      </x:c>
      <x:c r="G34" s="586" t="str">
        <x:v>Claim stays first; provenance fields wrap beneath it.</x:v>
      </x:c>
      <x:c r="H34" s="586" t="str">
        <x:v>Confidence uses words, contradictions are a named list, and source links are descriptive.</x:v>
      </x:c>
      <x:c r="I34" s="604" t="str">
        <x:v>Approved</x:v>
      </x:c>
    </x:row>
    <x:row r="35" ht="70" customHeight="1">
      <x:c r="A35" s="581" t="str">
        <x:v>CMP-31</x:v>
      </x:c>
      <x:c r="B35" s="581" t="str">
        <x:v>Front Pressure Card</x:v>
      </x:c>
      <x:c r="C35" s="581" t="str">
        <x:v>Systems</x:v>
      </x:c>
      <x:c r="D35" s="581" t="str">
        <x:v>Shows evidence-backed qualitative pressure without revealing a secret clock.</x:v>
      </x:c>
      <x:c r="E35" s="581" t="str">
        <x:v>front, pressure, evidence, change</x:v>
      </x:c>
      <x:c r="F35" s="581" t="str">
        <x:v>quiet, building, immediate, changed</x:v>
      </x:c>
      <x:c r="G35" s="581" t="str">
        <x:v>Pressure and evidence remain paired in a single-column card.</x:v>
      </x:c>
      <x:c r="H35" s="581" t="str">
        <x:v>Qualitative label and evidence text replace unlabeled meters.</x:v>
      </x:c>
      <x:c r="I35" s="604" t="str">
        <x:v>Approved</x:v>
      </x:c>
    </x:row>
    <x:row r="36" ht="70" customHeight="1">
      <x:c r="A36" s="586" t="str">
        <x:v>CMP-32</x:v>
      </x:c>
      <x:c r="B36" s="586" t="str">
        <x:v>Legal Process Card</x:v>
      </x:c>
      <x:c r="C36" s="586" t="str">
        <x:v>Systems</x:v>
      </x:c>
      <x:c r="D36" s="586" t="str">
        <x:v>Separates evidence, jurisdiction, authority and guilt.</x:v>
      </x:c>
      <x:c r="E36" s="586" t="str">
        <x:v>matter, evidence, jurisdiction, authority, finding</x:v>
      </x:c>
      <x:c r="F36" s="586" t="str">
        <x:v>inquiry, hearing, decision, appeal</x:v>
      </x:c>
      <x:c r="G36" s="586" t="str">
        <x:v>Process stages form a vertical ordered sequence below 720px.</x:v>
      </x:c>
      <x:c r="H36" s="586" t="str">
        <x:v>Current process stage is announced; guilt is never inferred from custody or charge.</x:v>
      </x:c>
      <x:c r="I36" s="604" t="str">
        <x:v>Approved</x:v>
      </x:c>
    </x:row>
    <x:row r="37" ht="70" customHeight="1">
      <x:c r="A37" s="581" t="str">
        <x:v>CMP-33</x:v>
      </x:c>
      <x:c r="B37" s="581" t="str">
        <x:v>Comic Job Card</x:v>
      </x:c>
      <x:c r="C37" s="581" t="str">
        <x:v>Systems</x:v>
      </x:c>
      <x:c r="D37" s="581" t="str">
        <x:v>Shows honest durable media stages while gameplay continues independently.</x:v>
      </x:c>
      <x:c r="E37" s="581" t="str">
        <x:v>job, stage, provenance, retry</x:v>
      </x:c>
      <x:c r="F37" s="581" t="str">
        <x:v>queued, drafting, review, published</x:v>
      </x:c>
      <x:c r="G37" s="581" t="str">
        <x:v>Job facts stack; gameplay status remains visibly independent.</x:v>
      </x:c>
      <x:c r="H37" s="581" t="str">
        <x:v>Stage names are textual, updates are polite, and failure offers a specific retry.</x:v>
      </x:c>
      <x:c r="I37" s="604" t="str">
        <x:v>Approved</x:v>
      </x:c>
    </x:row>
    <x:row r="38" ht="70" customHeight="1">
      <x:c r="A38" s="586" t="str">
        <x:v>CMP-34</x:v>
      </x:c>
      <x:c r="B38" s="586" t="str">
        <x:v>Comic Reader Controls</x:v>
      </x:c>
      <x:c r="C38" s="586" t="str">
        <x:v>Systems</x:v>
      </x:c>
      <x:c r="D38" s="586" t="str">
        <x:v>Makes edition, spoiler ceiling and access modes explicit.</x:v>
      </x:c>
      <x:c r="E38" s="586" t="str">
        <x:v>edition, ceiling, readingMode, navigation</x:v>
      </x:c>
      <x:c r="F38" s="586" t="str">
        <x:v>ready, loading, restricted, offline</x:v>
      </x:c>
      <x:c r="G38" s="586" t="str">
        <x:v>Controls become two labeled rows; reading order and page navigation remain intact.</x:v>
      </x:c>
      <x:c r="H38" s="586" t="str">
        <x:v>Page/strip modes, edition and spoiler ceiling are programmatically named.</x:v>
      </x:c>
      <x:c r="I38" s="604" t="str">
        <x:v>Approved</x:v>
      </x:c>
    </x:row>
    <x:row r="39" ht="70" customHeight="1">
      <x:c r="A39" s="581" t="str">
        <x:v>CMP-35</x:v>
      </x:c>
      <x:c r="B39" s="581" t="str">
        <x:v>Visible Focus</x:v>
      </x:c>
      <x:c r="C39" s="581" t="str">
        <x:v>Accessibility</x:v>
      </x:c>
      <x:c r="D39" s="581" t="str">
        <x:v>Provides a durable high-contrast focus indicator with clear offset.</x:v>
      </x:c>
      <x:c r="E39" s="581" t="str">
        <x:v>color, width, offset, forcedColors</x:v>
      </x:c>
      <x:c r="F39" s="581" t="str">
        <x:v>rest, focusVisible, forcedColors, invalid</x:v>
      </x:c>
      <x:c r="G39" s="581" t="str">
        <x:v>Same minimum indicator at every size and zoom level.</x:v>
      </x:c>
      <x:c r="H39" s="581" t="str">
        <x:v>At least a 2px contrasting outline with offset; never suppressed without replacement.</x:v>
      </x:c>
      <x:c r="I39" s="604" t="str">
        <x:v>Approved</x:v>
      </x:c>
    </x:row>
    <x:row r="40" ht="70" customHeight="1">
      <x:c r="A40" s="586" t="str">
        <x:v>CMP-36</x:v>
      </x:c>
      <x:c r="B40" s="586" t="str">
        <x:v>Semantic Regions</x:v>
      </x:c>
      <x:c r="C40" s="586" t="str">
        <x:v>Accessibility</x:v>
      </x:c>
      <x:c r="D40" s="586" t="str">
        <x:v>Establishes stable world, navigation, Stage, record and notice landmarks.</x:v>
      </x:c>
      <x:c r="E40" s="586" t="str">
        <x:v>world, navigation, stage, record, notices</x:v>
      </x:c>
      <x:c r="F40" s="586" t="str">
        <x:v>default, compact, loading, updated</x:v>
      </x:c>
      <x:c r="G40" s="586" t="str">
        <x:v>Visual movement does not change landmark identity or reading order.</x:v>
      </x:c>
      <x:c r="H40" s="586" t="str">
        <x:v>Unique labels for repeated regions and one primary main landmark.</x:v>
      </x:c>
      <x:c r="I40" s="604" t="str">
        <x:v>Approved</x:v>
      </x:c>
    </x:row>
    <x:row r="41" ht="70" customHeight="1">
      <x:c r="A41" s="581" t="str">
        <x:v>CMP-37</x:v>
      </x:c>
      <x:c r="B41" s="581" t="str">
        <x:v>Noncolor State Cue</x:v>
      </x:c>
      <x:c r="C41" s="581" t="str">
        <x:v>Accessibility</x:v>
      </x:c>
      <x:c r="D41" s="581" t="str">
        <x:v>Carries meaning through labels, shapes and structure in addition to color.</x:v>
      </x:c>
      <x:c r="E41" s="581" t="str">
        <x:v>label, shape, pattern, tone</x:v>
      </x:c>
      <x:c r="F41" s="581" t="str">
        <x:v>info, success, warning, danger</x:v>
      </x:c>
      <x:c r="G41" s="581" t="str">
        <x:v>Cue label remains visible; icons never shrink below the target minimum.</x:v>
      </x:c>
      <x:c r="H41" s="581" t="str">
        <x:v>State word is exposed to assistive tech; decorative color is ignored.</x:v>
      </x:c>
      <x:c r="I41" s="604" t="str">
        <x:v>Approved</x:v>
      </x:c>
    </x:row>
    <x:row r="42" ht="70" customHeight="1">
      <x:c r="A42" s="586" t="str">
        <x:v>CMP-38</x:v>
      </x:c>
      <x:c r="B42" s="586" t="str">
        <x:v>Live-Region Message</x:v>
      </x:c>
      <x:c r="C42" s="586" t="str">
        <x:v>Accessibility</x:v>
      </x:c>
      <x:c r="D42" s="586" t="str">
        <x:v>Announces material world or blocking change without stealing focus.</x:v>
      </x:c>
      <x:c r="E42" s="586" t="str">
        <x:v>message, urgency, dedupeKey, scope</x:v>
      </x:c>
      <x:c r="F42" s="586" t="str">
        <x:v>idle, polite, assertive, deduped</x:v>
      </x:c>
      <x:c r="G42" s="586" t="str">
        <x:v>Visually placed near source while remaining one stable live region.</x:v>
      </x:c>
      <x:c r="H42" s="586" t="str">
        <x:v>Polite by default, assertive only for blocking danger; duplicate announcements collapse.</x:v>
      </x:c>
      <x:c r="I42" s="604" t="str">
        <x:v>Approved</x:v>
      </x:c>
    </x:row>
    <x:row r="43" ht="70" customHeight="1">
      <x:c r="A43" s="581" t="str">
        <x:v>CMP-39</x:v>
      </x:c>
      <x:c r="B43" s="581" t="str">
        <x:v>Alternate Input Tray</x:v>
      </x:c>
      <x:c r="C43" s="581" t="str">
        <x:v>Accessibility</x:v>
      </x:c>
      <x:c r="D43" s="581" t="str">
        <x:v>Offers core intent control without precision pointer use or free typing.</x:v>
      </x:c>
      <x:c r="E43" s="581" t="str">
        <x:v>goals, methods, selection, submit</x:v>
      </x:c>
      <x:c r="F43" s="581" t="str">
        <x:v>closed, open, selected, submitted</x:v>
      </x:c>
      <x:c r="G43" s="581" t="str">
        <x:v>Full-width button grid becomes a vertical list with unchanged capability.</x:v>
      </x:c>
      <x:c r="H43" s="581" t="str">
        <x:v>Roving or ordinary tab order is documented; selection and submission are distinct.</x:v>
      </x:c>
      <x:c r="I43" s="604" t="str">
        <x:v>Approved</x:v>
      </x:c>
    </x:row>
    <x:row r="44" ht="70" customHeight="1">
      <x:c r="A44" s="586" t="str">
        <x:v>CMP-40</x:v>
      </x:c>
      <x:c r="B44" s="586" t="str">
        <x:v>Motion Substitute</x:v>
      </x:c>
      <x:c r="C44" s="586" t="str">
        <x:v>Accessibility</x:v>
      </x:c>
      <x:c r="D44" s="586" t="str">
        <x:v>Replaces nonessential animation with a text sequence or immediate final state.</x:v>
      </x:c>
      <x:c r="E44" s="586" t="str">
        <x:v>sequence, finalState, preference, duration</x:v>
      </x:c>
      <x:c r="F44" s="586" t="str">
        <x:v>animated, reduced, skipped, complete</x:v>
      </x:c>
      <x:c r="G44" s="586" t="str">
        <x:v>Substitute content is identical across layout sizes.</x:v>
      </x:c>
      <x:c r="H44" s="586" t="str">
        <x:v>Respects reduced-motion preference and never hides meaning behind motion.</x:v>
      </x:c>
      <x:c r="I44" s="604" t="str">
        <x:v>Approved</x:v>
      </x:c>
    </x:row>
  </x:sheetData>
  <x:mergeCells>
    <x:mergeCell ref="A1:I1"/>
    <x:mergeCell ref="A2:I2"/>
  </x:mergeCells>
  <x:dataValidations count="1">
    <x:dataValidation type="list" sqref="I5:I44">
      <x:formula1>"Candidate,Approved,Deferred"</x:formula1>
    </x:dataValidation>
  </x:dataValidations>
  <x:pageMargins left="0.7" right="0.7" top="0.75" bottom="0.75" header="0.3" footer="0.3"/>
  <x:tableParts count="1">
    <x:tablePart xmlns:r="http://schemas.openxmlformats.org/officeDocument/2006/relationships" r:id="R283304ec64f34e82"/>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21" hidden="0" customWidth="1"/>
    <x:col min="2" max="2" width="30" hidden="0" customWidth="1"/>
    <x:col min="3" max="3" width="27" hidden="0" customWidth="1"/>
    <x:col min="4" max="4" width="32" hidden="0" customWidth="1"/>
    <x:col min="5" max="5" width="36" hidden="0" customWidth="1"/>
    <x:col min="6" max="6" width="34" hidden="0" customWidth="1"/>
    <x:col min="7" max="7" width="36" hidden="0" customWidth="1"/>
    <x:col min="8" max="8" width="14" hidden="0" customWidth="1"/>
  </x:cols>
  <x:sheetData>
    <x:row r="1">
      <x:c r="A1" s="547" t="str">
        <x:v>UI-01 • TOKEN, STATE AND ACCESS CONTRACT MAP</x:v>
      </x:c>
      <x:c r="B1" s="547" t="str">
        <x:v>UI-01 • TOKEN, STATE AND ACCESS CONTRACT MAP</x:v>
      </x:c>
      <x:c r="C1" s="547" t="str">
        <x:v>UI-01 • TOKEN, STATE AND ACCESS CONTRACT MAP</x:v>
      </x:c>
      <x:c r="D1" s="547" t="str">
        <x:v>UI-01 • TOKEN, STATE AND ACCESS CONTRACT MAP</x:v>
      </x:c>
      <x:c r="E1" s="547" t="str">
        <x:v>UI-01 • TOKEN, STATE AND ACCESS CONTRACT MAP</x:v>
      </x:c>
      <x:c r="F1" s="547" t="str">
        <x:v>UI-01 • TOKEN, STATE AND ACCESS CONTRACT MAP</x:v>
      </x:c>
      <x:c r="G1" s="547" t="str">
        <x:v>UI-01 • TOKEN, STATE AND ACCESS CONTRACT MAP</x:v>
      </x:c>
      <x:c r="H1" s="547" t="str">
        <x:v>UI-01 • TOKEN, STATE AND ACCESS CONTRACT MAP</x:v>
      </x:c>
    </x:row>
    <x:row r="2">
      <x:c r="A2" s="551" t="str">
        <x:v>Semantic presentation rules are inspectable, noncolor-dependent and capability-preserving</x:v>
      </x:c>
      <x:c r="B2" s="551" t="str">
        <x:v>Semantic presentation rules are inspectable, noncolor-dependent and capability-preserving</x:v>
      </x:c>
      <x:c r="C2" s="551" t="str">
        <x:v>Semantic presentation rules are inspectable, noncolor-dependent and capability-preserving</x:v>
      </x:c>
      <x:c r="D2" s="551" t="str">
        <x:v>Semantic presentation rules are inspectable, noncolor-dependent and capability-preserving</x:v>
      </x:c>
      <x:c r="E2" s="551" t="str">
        <x:v>Semantic presentation rules are inspectable, noncolor-dependent and capability-preserving</x:v>
      </x:c>
      <x:c r="F2" s="551" t="str">
        <x:v>Semantic presentation rules are inspectable, noncolor-dependent and capability-preserving</x:v>
      </x:c>
      <x:c r="G2" s="551" t="str">
        <x:v>Semantic presentation rules are inspectable, noncolor-dependent and capability-preserving</x:v>
      </x:c>
      <x:c r="H2" s="551" t="str">
        <x:v>Semantic presentation rules are inspectable, noncolor-dependent and capability-preserving</x:v>
      </x:c>
    </x:row>
    <x:row r="4">
      <x:c r="A4" s="574" t="str">
        <x:v>FOUNDATION TOKENS</x:v>
      </x:c>
      <x:c r="B4" s="575" t="str">
        <x:v>FOUNDATION TOKENS</x:v>
      </x:c>
      <x:c r="C4" s="575" t="str">
        <x:v>FOUNDATION TOKENS</x:v>
      </x:c>
      <x:c r="D4" s="575" t="str">
        <x:v>FOUNDATION TOKENS</x:v>
      </x:c>
      <x:c r="E4" s="575" t="str">
        <x:v>FOUNDATION TOKENS</x:v>
      </x:c>
      <x:c r="F4" s="575" t="str">
        <x:v>FOUNDATION TOKENS</x:v>
      </x:c>
      <x:c r="G4" s="575" t="str">
        <x:v>FOUNDATION TOKENS</x:v>
      </x:c>
      <x:c r="H4" s="576" t="str">
        <x:v>FOUNDATION TOKENS</x:v>
      </x:c>
    </x:row>
    <x:row r="5">
      <x:c r="A5" s="574" t="str">
        <x:v>Token</x:v>
      </x:c>
      <x:c r="B5" s="575" t="str">
        <x:v>Role</x:v>
      </x:c>
      <x:c r="C5" s="575" t="str">
        <x:v>Value</x:v>
      </x:c>
      <x:c r="D5" s="575" t="str">
        <x:v>Contrast / cue</x:v>
      </x:c>
      <x:c r="E5" s="575" t="str">
        <x:v>Usage boundary</x:v>
      </x:c>
      <x:c r="F5" s="575" t="str">
        <x:v>Compact behavior</x:v>
      </x:c>
      <x:c r="G5" s="575" t="str">
        <x:v>Reduced-motion behavior</x:v>
      </x:c>
      <x:c r="H5" s="576" t="str">
        <x:v>Status</x:v>
      </x:c>
    </x:row>
    <x:row r="6" ht="46" customHeight="1">
      <x:c r="A6" s="586" t="str">
        <x:v>surface.void</x:v>
      </x:c>
      <x:c r="B6" s="586" t="str">
        <x:v>Canvas</x:v>
      </x:c>
      <x:c r="C6" s="586" t="str">
        <x:v>#080D13</x:v>
      </x:c>
      <x:c r="D6" s="586" t="str">
        <x:v>Dark base</x:v>
      </x:c>
      <x:c r="E6" s="586" t="str">
        <x:v>World shell and page background</x:v>
      </x:c>
      <x:c r="F6" s="586" t="str">
        <x:v>Unchanged</x:v>
      </x:c>
      <x:c r="G6" s="586" t="str">
        <x:v>Unchanged</x:v>
      </x:c>
      <x:c r="H6" s="604" t="str">
        <x:v>Approved</x:v>
      </x:c>
    </x:row>
    <x:row r="7" ht="46" customHeight="1">
      <x:c r="A7" s="581" t="str">
        <x:v>surface.slate</x:v>
      </x:c>
      <x:c r="B7" s="581" t="str">
        <x:v>Panel</x:v>
      </x:c>
      <x:c r="C7" s="581" t="str">
        <x:v>#101821</x:v>
      </x:c>
      <x:c r="D7" s="581" t="str">
        <x:v>Separated by line + elevation</x:v>
      </x:c>
      <x:c r="E7" s="581" t="str">
        <x:v>Cards, rails and docks</x:v>
      </x:c>
      <x:c r="F7" s="581" t="str">
        <x:v>Spacing tightens</x:v>
      </x:c>
      <x:c r="G7" s="581" t="str">
        <x:v>Unchanged</x:v>
      </x:c>
      <x:c r="H7" s="604" t="str">
        <x:v>Approved</x:v>
      </x:c>
    </x:row>
    <x:row r="8" ht="46" customHeight="1">
      <x:c r="A8" s="586" t="str">
        <x:v>surface.raised</x:v>
      </x:c>
      <x:c r="B8" s="586" t="str">
        <x:v>Raised panel</x:v>
      </x:c>
      <x:c r="C8" s="586" t="str">
        <x:v>#17232D</x:v>
      </x:c>
      <x:c r="D8" s="586" t="str">
        <x:v>Border + luminance step</x:v>
      </x:c>
      <x:c r="E8" s="586" t="str">
        <x:v>Selected or nested content</x:v>
      </x:c>
      <x:c r="F8" s="586" t="str">
        <x:v>Spacing tightens</x:v>
      </x:c>
      <x:c r="G8" s="586" t="str">
        <x:v>Unchanged</x:v>
      </x:c>
      <x:c r="H8" s="604" t="str">
        <x:v>Approved</x:v>
      </x:c>
    </x:row>
    <x:row r="9" ht="46" customHeight="1">
      <x:c r="A9" s="581" t="str">
        <x:v>ink.primary</x:v>
      </x:c>
      <x:c r="B9" s="581" t="str">
        <x:v>Primary text</x:v>
      </x:c>
      <x:c r="C9" s="581" t="str">
        <x:v>#E7EDF0</x:v>
      </x:c>
      <x:c r="D9" s="581" t="str">
        <x:v>Readable on all dark surfaces</x:v>
      </x:c>
      <x:c r="E9" s="581" t="str">
        <x:v>Headings, decisions and outcomes</x:v>
      </x:c>
      <x:c r="F9" s="581" t="str">
        <x:v>Unchanged</x:v>
      </x:c>
      <x:c r="G9" s="581" t="str">
        <x:v>Unchanged</x:v>
      </x:c>
      <x:c r="H9" s="604" t="str">
        <x:v>Approved</x:v>
      </x:c>
    </x:row>
    <x:row r="10" ht="46" customHeight="1">
      <x:c r="A10" s="586" t="str">
        <x:v>signal.agency</x:v>
      </x:c>
      <x:c r="B10" s="586" t="str">
        <x:v>Player agency</x:v>
      </x:c>
      <x:c r="C10" s="586" t="str">
        <x:v>#D6A64D</x:v>
      </x:c>
      <x:c r="D10" s="586" t="str">
        <x:v>Always paired with label/structure</x:v>
      </x:c>
      <x:c r="E10" s="586" t="str">
        <x:v>Intent, commit and active choice</x:v>
      </x:c>
      <x:c r="F10" s="586" t="str">
        <x:v>Unchanged</x:v>
      </x:c>
      <x:c r="G10" s="586" t="str">
        <x:v>No animation dependency</x:v>
      </x:c>
      <x:c r="H10" s="604" t="str">
        <x:v>Approved</x:v>
      </x:c>
    </x:row>
    <x:row r="11" ht="46" customHeight="1">
      <x:c r="A11" s="581" t="str">
        <x:v>signal.known</x:v>
      </x:c>
      <x:c r="B11" s="581" t="str">
        <x:v>Known / verified</x:v>
      </x:c>
      <x:c r="C11" s="581" t="str">
        <x:v>#62C6BB</x:v>
      </x:c>
      <x:c r="D11" s="581" t="str">
        <x:v>Word + shape + color</x:v>
      </x:c>
      <x:c r="E11" s="581" t="str">
        <x:v>Knowledge-safe facts and success</x:v>
      </x:c>
      <x:c r="F11" s="581" t="str">
        <x:v>Unchanged</x:v>
      </x:c>
      <x:c r="G11" s="581" t="str">
        <x:v>No animation dependency</x:v>
      </x:c>
      <x:c r="H11" s="604" t="str">
        <x:v>Approved</x:v>
      </x:c>
    </x:row>
    <x:row r="12" ht="46" customHeight="1">
      <x:c r="A12" s="586" t="str">
        <x:v>signal.pressure</x:v>
      </x:c>
      <x:c r="B12" s="586" t="str">
        <x:v>Pressure</x:v>
      </x:c>
      <x:c r="C12" s="586" t="str">
        <x:v>#E08A5C</x:v>
      </x:c>
      <x:c r="D12" s="586" t="str">
        <x:v>Triangle + word + color</x:v>
      </x:c>
      <x:c r="E12" s="586" t="str">
        <x:v>Urgency and fronts</x:v>
      </x:c>
      <x:c r="F12" s="586" t="str">
        <x:v>Unchanged</x:v>
      </x:c>
      <x:c r="G12" s="586" t="str">
        <x:v>Threshold announcements only</x:v>
      </x:c>
      <x:c r="H12" s="604" t="str">
        <x:v>Approved</x:v>
      </x:c>
    </x:row>
    <x:row r="13" ht="46" customHeight="1">
      <x:c r="A13" s="581" t="str">
        <x:v>signal.uncertain</x:v>
      </x:c>
      <x:c r="B13" s="581" t="str">
        <x:v>Uncertainty</x:v>
      </x:c>
      <x:c r="C13" s="581" t="str">
        <x:v>#B785D6</x:v>
      </x:c>
      <x:c r="D13" s="581" t="str">
        <x:v>Word + outline + color</x:v>
      </x:c>
      <x:c r="E13" s="581" t="str">
        <x:v>Forecasts and disputed facts</x:v>
      </x:c>
      <x:c r="F13" s="581" t="str">
        <x:v>Unchanged</x:v>
      </x:c>
      <x:c r="G13" s="581" t="str">
        <x:v>Unchanged</x:v>
      </x:c>
      <x:c r="H13" s="604" t="str">
        <x:v>Approved</x:v>
      </x:c>
    </x:row>
    <x:row r="14" ht="46" customHeight="1">
      <x:c r="A14" s="586" t="str">
        <x:v>focus.visible</x:v>
      </x:c>
      <x:c r="B14" s="586" t="str">
        <x:v>Keyboard focus</x:v>
      </x:c>
      <x:c r="C14" s="586" t="str">
        <x:v>2px #F6D47F + 3px offset</x:v>
      </x:c>
      <x:c r="D14" s="586" t="str">
        <x:v>High-contrast outline</x:v>
      </x:c>
      <x:c r="E14" s="586" t="str">
        <x:v>Every operable control</x:v>
      </x:c>
      <x:c r="F14" s="586" t="str">
        <x:v>Never reduced</x:v>
      </x:c>
      <x:c r="G14" s="586" t="str">
        <x:v>Unchanged</x:v>
      </x:c>
      <x:c r="H14" s="604" t="str">
        <x:v>Approved</x:v>
      </x:c>
    </x:row>
    <x:row r="15" ht="46" customHeight="1">
      <x:c r="A15" s="581" t="str">
        <x:v>control.minimum</x:v>
      </x:c>
      <x:c r="B15" s="581" t="str">
        <x:v>Target size</x:v>
      </x:c>
      <x:c r="C15" s="581" t="str">
        <x:v>40px</x:v>
      </x:c>
      <x:c r="D15" s="581" t="str">
        <x:v>Size + visible label</x:v>
      </x:c>
      <x:c r="E15" s="581" t="str">
        <x:v>Primary controls and alternate tray</x:v>
      </x:c>
      <x:c r="F15" s="581" t="str">
        <x:v>Never below 40px</x:v>
      </x:c>
      <x:c r="G15" s="581" t="str">
        <x:v>Unchanged</x:v>
      </x:c>
      <x:c r="H15" s="604" t="str">
        <x:v>Approved</x:v>
      </x:c>
    </x:row>
    <x:row r="17">
      <x:c r="A17" s="574" t="str">
        <x:v>SEMANTIC STATE GRAMMAR</x:v>
      </x:c>
      <x:c r="B17" s="575" t="str">
        <x:v>SEMANTIC STATE GRAMMAR</x:v>
      </x:c>
      <x:c r="C17" s="575" t="str">
        <x:v>SEMANTIC STATE GRAMMAR</x:v>
      </x:c>
      <x:c r="D17" s="575" t="str">
        <x:v>SEMANTIC STATE GRAMMAR</x:v>
      </x:c>
      <x:c r="E17" s="575" t="str">
        <x:v>SEMANTIC STATE GRAMMAR</x:v>
      </x:c>
      <x:c r="F17" s="575" t="str">
        <x:v>SEMANTIC STATE GRAMMAR</x:v>
      </x:c>
      <x:c r="G17" s="575" t="str">
        <x:v>SEMANTIC STATE GRAMMAR</x:v>
      </x:c>
      <x:c r="H17" s="576" t="str">
        <x:v>SEMANTIC STATE GRAMMAR</x:v>
      </x:c>
    </x:row>
    <x:row r="18">
      <x:c r="A18" s="574" t="str">
        <x:v>State</x:v>
      </x:c>
      <x:c r="B18" s="575" t="str">
        <x:v>Visible cue</x:v>
      </x:c>
      <x:c r="C18" s="575" t="str">
        <x:v>System promise</x:v>
      </x:c>
      <x:c r="D18" s="575" t="str">
        <x:v>Player path</x:v>
      </x:c>
      <x:c r="E18" s="575" t="str">
        <x:v>Live-region rule</x:v>
      </x:c>
      <x:c r="F18" s="575" t="str">
        <x:v>Focus rule</x:v>
      </x:c>
      <x:c r="G18" s="575" t="str">
        <x:v>Canonical boundary</x:v>
      </x:c>
      <x:c r="H18" s="576" t="str">
        <x:v>Status</x:v>
      </x:c>
    </x:row>
    <x:row r="19" ht="52" customHeight="1">
      <x:c r="A19" s="581" t="str">
        <x:v>Loading</x:v>
      </x:c>
      <x:c r="B19" s="581" t="str">
        <x:v>Circle + skeleton + label</x:v>
      </x:c>
      <x:c r="C19" s="581" t="str">
        <x:v>No false completion</x:v>
      </x:c>
      <x:c r="D19" s="581" t="str">
        <x:v>Wait or leave safely</x:v>
      </x:c>
      <x:c r="E19" s="581" t="str">
        <x:v>Polite only if material</x:v>
      </x:c>
      <x:c r="F19" s="581" t="str">
        <x:v>Do not move focus</x:v>
      </x:c>
      <x:c r="G19" s="581" t="str">
        <x:v>No mutation inferred</x:v>
      </x:c>
      <x:c r="H19" s="604" t="str">
        <x:v>Approved</x:v>
      </x:c>
    </x:row>
    <x:row r="20" ht="52" customHeight="1">
      <x:c r="A20" s="586" t="str">
        <x:v>Empty</x:v>
      </x:c>
      <x:c r="B20" s="586" t="str">
        <x:v>Diamond + named absence</x:v>
      </x:c>
      <x:c r="C20" s="586" t="str">
        <x:v>Absence is not error</x:v>
      </x:c>
      <x:c r="D20" s="586" t="str">
        <x:v>Create or return</x:v>
      </x:c>
      <x:c r="E20" s="586" t="str">
        <x:v>Usually silent</x:v>
      </x:c>
      <x:c r="F20" s="586" t="str">
        <x:v>Remain at trigger</x:v>
      </x:c>
      <x:c r="G20" s="586" t="str">
        <x:v>No data invented</x:v>
      </x:c>
      <x:c r="H20" s="604" t="str">
        <x:v>Approved</x:v>
      </x:c>
    </x:row>
    <x:row r="21" ht="52" customHeight="1">
      <x:c r="A21" s="581" t="str">
        <x:v>Stale</x:v>
      </x:c>
      <x:c r="B21" s="581" t="str">
        <x:v>Triangle + age + last-known</x:v>
      </x:c>
      <x:c r="C21" s="581" t="str">
        <x:v>Old truth is marked</x:v>
      </x:c>
      <x:c r="D21" s="581" t="str">
        <x:v>Refresh or proceed knowingly</x:v>
      </x:c>
      <x:c r="E21" s="581" t="str">
        <x:v>Polite material update</x:v>
      </x:c>
      <x:c r="F21" s="581" t="str">
        <x:v>Remain in context</x:v>
      </x:c>
      <x:c r="G21" s="581" t="str">
        <x:v>Commit suspends if material</x:v>
      </x:c>
      <x:c r="H21" s="604" t="str">
        <x:v>Approved</x:v>
      </x:c>
    </x:row>
    <x:row r="22" ht="52" customHeight="1">
      <x:c r="A22" s="586" t="str">
        <x:v>Conflict</x:v>
      </x:c>
      <x:c r="B22" s="586" t="str">
        <x:v>Split diamond + side-by-side change</x:v>
      </x:c>
      <x:c r="C22" s="586" t="str">
        <x:v>Draft and canon preserved</x:v>
      </x:c>
      <x:c r="D22" s="586" t="str">
        <x:v>Review, merge or cancel</x:v>
      </x:c>
      <x:c r="E22" s="586" t="str">
        <x:v>Assertive when blocking</x:v>
      </x:c>
      <x:c r="F22" s="586" t="str">
        <x:v>Move only by player action</x:v>
      </x:c>
      <x:c r="G22" s="586" t="str">
        <x:v>Reducer remains authoritative</x:v>
      </x:c>
      <x:c r="H22" s="604" t="str">
        <x:v>Approved</x:v>
      </x:c>
    </x:row>
    <x:row r="23" ht="52" customHeight="1">
      <x:c r="A23" s="581" t="str">
        <x:v>Recovery</x:v>
      </x:c>
      <x:c r="B23" s="581" t="str">
        <x:v>Return arrow + retained-work note</x:v>
      </x:c>
      <x:c r="C23" s="581" t="str">
        <x:v>Draft survives failure</x:v>
      </x:c>
      <x:c r="D23" s="581" t="str">
        <x:v>Retry or restore</x:v>
      </x:c>
      <x:c r="E23" s="581" t="str">
        <x:v>Assertive for blocking recovery</x:v>
      </x:c>
      <x:c r="F23" s="581" t="str">
        <x:v>Return to preserved control</x:v>
      </x:c>
      <x:c r="G23" s="581" t="str">
        <x:v>Lookup before retry</x:v>
      </x:c>
      <x:c r="H23" s="604" t="str">
        <x:v>Approved</x:v>
      </x:c>
    </x:row>
    <x:row r="24" ht="52" customHeight="1">
      <x:c r="A24" s="586" t="str">
        <x:v>Unavailable</x:v>
      </x:c>
      <x:c r="B24" s="586" t="str">
        <x:v>Square + reason + boundary</x:v>
      </x:c>
      <x:c r="C24" s="586" t="str">
        <x:v>No invented permission</x:v>
      </x:c>
      <x:c r="D24" s="586" t="str">
        <x:v>Choose valid alternative</x:v>
      </x:c>
      <x:c r="E24" s="586" t="str">
        <x:v>Polite unless urgent</x:v>
      </x:c>
      <x:c r="F24" s="586" t="str">
        <x:v>Remain at unavailable action</x:v>
      </x:c>
      <x:c r="G24" s="586" t="str">
        <x:v>Actor-safe reason only</x:v>
      </x:c>
      <x:c r="H24" s="604" t="str">
        <x:v>Approved</x:v>
      </x:c>
    </x:row>
    <x:row r="26">
      <x:c r="A26" s="574" t="str">
        <x:v>RESPONSIVE AND ACCESSIBILITY BASELINES</x:v>
      </x:c>
      <x:c r="B26" s="575" t="str">
        <x:v>RESPONSIVE AND ACCESSIBILITY BASELINES</x:v>
      </x:c>
      <x:c r="C26" s="575" t="str">
        <x:v>RESPONSIVE AND ACCESSIBILITY BASELINES</x:v>
      </x:c>
      <x:c r="D26" s="575" t="str">
        <x:v>RESPONSIVE AND ACCESSIBILITY BASELINES</x:v>
      </x:c>
      <x:c r="E26" s="575" t="str">
        <x:v>RESPONSIVE AND ACCESSIBILITY BASELINES</x:v>
      </x:c>
      <x:c r="F26" s="575" t="str">
        <x:v>RESPONSIVE AND ACCESSIBILITY BASELINES</x:v>
      </x:c>
      <x:c r="G26" s="575" t="str">
        <x:v>RESPONSIVE AND ACCESSIBILITY BASELINES</x:v>
      </x:c>
      <x:c r="H26" s="576" t="str">
        <x:v>RESPONSIVE AND ACCESSIBILITY BASELINES</x:v>
      </x:c>
    </x:row>
    <x:row r="27">
      <x:c r="A27" s="574" t="str">
        <x:v>Rule</x:v>
      </x:c>
      <x:c r="B27" s="575" t="str">
        <x:v>Desktop reference</x:v>
      </x:c>
      <x:c r="C27" s="575" t="str">
        <x:v>≤ 980px</x:v>
      </x:c>
      <x:c r="D27" s="575" t="str">
        <x:v>≤ 720px</x:v>
      </x:c>
      <x:c r="E27" s="575" t="str">
        <x:v>200% zoom</x:v>
      </x:c>
      <x:c r="F27" s="575" t="str">
        <x:v>Forced colors</x:v>
      </x:c>
      <x:c r="G27" s="575" t="str">
        <x:v>Reduced motion</x:v>
      </x:c>
      <x:c r="H27" s="576" t="str">
        <x:v>Status</x:v>
      </x:c>
    </x:row>
    <x:row r="28" ht="56" customHeight="1">
      <x:c r="A28" s="586" t="str">
        <x:v>World shell</x:v>
      </x:c>
      <x:c r="B28" s="586" t="str">
        <x:v>Sticky strip + campaign rail</x:v>
      </x:c>
      <x:c r="C28" s="586" t="str">
        <x:v>Two-row strip + horizontal rail</x:v>
      </x:c>
      <x:c r="D28" s="586" t="str">
        <x:v>Fact grid retained</x:v>
      </x:c>
      <x:c r="E28" s="586" t="str">
        <x:v>Reflow without horizontal page scroll</x:v>
      </x:c>
      <x:c r="F28" s="586" t="str">
        <x:v>Borders and text labels persist</x:v>
      </x:c>
      <x:c r="G28" s="586" t="str">
        <x:v>No essential transition</x:v>
      </x:c>
      <x:c r="H28" s="604" t="str">
        <x:v>Approved</x:v>
      </x:c>
    </x:row>
    <x:row r="29" ht="56" customHeight="1">
      <x:c r="A29" s="581" t="str">
        <x:v>Adaptive Stage</x:v>
      </x:c>
      <x:c r="B29" s="581" t="str">
        <x:v>Scene + Context Lens side by side</x:v>
      </x:c>
      <x:c r="C29" s="581" t="str">
        <x:v>Lens becomes below-Stage region</x:v>
      </x:c>
      <x:c r="D29" s="581" t="str">
        <x:v>Single-column readable order</x:v>
      </x:c>
      <x:c r="E29" s="581" t="str">
        <x:v>Markers become structured list</x:v>
      </x:c>
      <x:c r="F29" s="581" t="str">
        <x:v>Atmospheric layer may disappear</x:v>
      </x:c>
      <x:c r="G29" s="581" t="str">
        <x:v>Final state replaces motion</x:v>
      </x:c>
      <x:c r="H29" s="604" t="str">
        <x:v>Approved</x:v>
      </x:c>
    </x:row>
    <x:row r="30" ht="56" customHeight="1">
      <x:c r="A30" s="586" t="str">
        <x:v>Intent and commit</x:v>
      </x:c>
      <x:c r="B30" s="586" t="str">
        <x:v>Goal + Method + action row</x:v>
      </x:c>
      <x:c r="C30" s="586" t="str">
        <x:v>Same fields retained</x:v>
      </x:c>
      <x:c r="D30" s="586" t="str">
        <x:v>Fields stack vertically</x:v>
      </x:c>
      <x:c r="E30" s="586" t="str">
        <x:v>No capability loss</x:v>
      </x:c>
      <x:c r="F30" s="586" t="str">
        <x:v>Focus and labels retained</x:v>
      </x:c>
      <x:c r="G30" s="586" t="str">
        <x:v>No timed animation dependency</x:v>
      </x:c>
      <x:c r="H30" s="604" t="str">
        <x:v>Approved</x:v>
      </x:c>
    </x:row>
    <x:row r="31" ht="56" customHeight="1">
      <x:c r="A31" s="581" t="str">
        <x:v>Catalog</x:v>
      </x:c>
      <x:c r="B31" s="581" t="str">
        <x:v>Two-column cards + sticky specimen</x:v>
      </x:c>
      <x:c r="C31" s="581" t="str">
        <x:v>Specimen moves above grid</x:v>
      </x:c>
      <x:c r="D31" s="581" t="str">
        <x:v>Single-column cards</x:v>
      </x:c>
      <x:c r="E31" s="581" t="str">
        <x:v>Props/states remain inspectable</x:v>
      </x:c>
      <x:c r="F31" s="581" t="str">
        <x:v>Selected state is text-labeled</x:v>
      </x:c>
      <x:c r="G31" s="581" t="str">
        <x:v>State changes are immediate</x:v>
      </x:c>
      <x:c r="H31" s="604" t="str">
        <x:v>Approved</x:v>
      </x:c>
    </x:row>
    <x:row r="32" ht="56" customHeight="1">
      <x:c r="A32" s="586" t="str">
        <x:v>Input parity</x:v>
      </x:c>
      <x:c r="B32" s="586" t="str">
        <x:v>Pointer, keyboard and free text</x:v>
      </x:c>
      <x:c r="C32" s="586" t="str">
        <x:v>Same</x:v>
      </x:c>
      <x:c r="D32" s="586" t="str">
        <x:v>Same + alternate tray</x:v>
      </x:c>
      <x:c r="E32" s="586" t="str">
        <x:v>Same</x:v>
      </x:c>
      <x:c r="F32" s="586" t="str">
        <x:v>Native control visibility</x:v>
      </x:c>
      <x:c r="G32" s="586" t="str">
        <x:v>Same</x:v>
      </x:c>
      <x:c r="H32" s="604" t="str">
        <x:v>Approved</x:v>
      </x:c>
    </x:row>
    <x:row r="33" ht="56" customHeight="1">
      <x:c r="A33" s="581" t="str">
        <x:v>Announcements</x:v>
      </x:c>
      <x:c r="B33" s="581" t="str">
        <x:v>One stable live region</x:v>
      </x:c>
      <x:c r="C33" s="581" t="str">
        <x:v>Same</x:v>
      </x:c>
      <x:c r="D33" s="581" t="str">
        <x:v>Same</x:v>
      </x:c>
      <x:c r="E33" s="581" t="str">
        <x:v>Same</x:v>
      </x:c>
      <x:c r="F33" s="581" t="str">
        <x:v>System colors</x:v>
      </x:c>
      <x:c r="G33" s="581" t="str">
        <x:v>Dedupe and threshold rules unchanged</x:v>
      </x:c>
      <x:c r="H33" s="604" t="str">
        <x:v>Approved</x:v>
      </x:c>
    </x:row>
  </x:sheetData>
  <x:mergeCells>
    <x:mergeCell ref="A1:H1"/>
    <x:mergeCell ref="A2:H2"/>
    <x:mergeCell ref="A4:H4"/>
    <x:mergeCell ref="A17:H17"/>
    <x:mergeCell ref="A26:H26"/>
  </x:mergeCell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defaultRowHeight="15"/>
  <x:cols>
    <x:col min="1" max="1" width="22" hidden="0" customWidth="1"/>
    <x:col min="2" max="2" width="46" hidden="0" customWidth="1"/>
    <x:col min="3" max="3" width="5" hidden="0" customWidth="1"/>
    <x:col min="4" max="4" width="28" hidden="0" customWidth="1"/>
    <x:col min="5" max="5" width="14" hidden="0" customWidth="1"/>
    <x:col min="6" max="6" width="5" hidden="0" customWidth="1"/>
    <x:col min="7" max="7" width="28" hidden="0" customWidth="1"/>
    <x:col min="8" max="8" width="28" hidden="0" customWidth="1"/>
  </x:cols>
  <x:sheetData>
    <x:row r="1" ht="30" customHeight="1">
      <x:c r="A1" s="608" t="str">
        <x:v>MYTHIC SUPERHERO RPG • UI-02 FINAL SCREEN ATLAS</x:v>
      </x:c>
      <x:c r="B1" s="608" t="str">
        <x:v>MYTHIC SUPERHERO RPG • UI-02 FINAL SCREEN ATLAS</x:v>
      </x:c>
      <x:c r="C1" s="608" t="str">
        <x:v>MYTHIC SUPERHERO RPG • UI-02 FINAL SCREEN ATLAS</x:v>
      </x:c>
      <x:c r="D1" s="608" t="str">
        <x:v>MYTHIC SUPERHERO RPG • UI-02 FINAL SCREEN ATLAS</x:v>
      </x:c>
      <x:c r="E1" s="608" t="str">
        <x:v>MYTHIC SUPERHERO RPG • UI-02 FINAL SCREEN ATLAS</x:v>
      </x:c>
      <x:c r="F1" s="608" t="str">
        <x:v>MYTHIC SUPERHERO RPG • UI-02 FINAL SCREEN ATLAS</x:v>
      </x:c>
      <x:c r="G1" s="608" t="str">
        <x:v>MYTHIC SUPERHERO RPG • UI-02 FINAL SCREEN ATLAS</x:v>
      </x:c>
      <x:c r="H1" s="608" t="str">
        <x:v>MYTHIC SUPERHERO RPG • UI-02 FINAL SCREEN ATLAS</x:v>
      </x:c>
    </x:row>
    <x:row r="2" ht="34" customHeight="1">
      <x:c r="A2" s="612" t="str">
        <x:v>Figma-free final screen families and state variants approved and locked · desktop-first Adaptive Living World Stage · production gate CLOSED</x:v>
      </x:c>
      <x:c r="B2" s="612" t="str">
        <x:v>Figma-free final screen families and state variants • desktop-first Adaptive Living World Stage • production gate CLOSED</x:v>
      </x:c>
      <x:c r="C2" s="612" t="str">
        <x:v>Figma-free final screen families and state variants • desktop-first Adaptive Living World Stage • production gate CLOSED</x:v>
      </x:c>
      <x:c r="D2" s="612" t="str">
        <x:v>Figma-free final screen families and state variants • desktop-first Adaptive Living World Stage • production gate CLOSED</x:v>
      </x:c>
      <x:c r="E2" s="612" t="str">
        <x:v>Figma-free final screen families and state variants • desktop-first Adaptive Living World Stage • production gate CLOSED</x:v>
      </x:c>
      <x:c r="F2" s="612" t="str">
        <x:v>Figma-free final screen families and state variants • desktop-first Adaptive Living World Stage • production gate CLOSED</x:v>
      </x:c>
      <x:c r="G2" s="612" t="str">
        <x:v>Figma-free final screen families and state variants • desktop-first Adaptive Living World Stage • production gate CLOSED</x:v>
      </x:c>
      <x:c r="H2" s="612" t="str">
        <x:v>Figma-free final screen families and state variants • desktop-first Adaptive Living World Stage • production gate CLOSED</x:v>
      </x:c>
    </x:row>
    <x:row r="3" ht="24" customHeight="1"/>
    <x:row r="4" ht="34" customHeight="1">
      <x:c r="A4" s="615" t="str">
        <x:v>UI-01 dependency</x:v>
      </x:c>
      <x:c r="B4" s="618" t="str">
        <x:v>Approved and locked · 2026-08-23</x:v>
      </x:c>
      <x:c r="D4" s="673" t="str">
        <x:v>UI-02 APPROVED EVIDENCE</x:v>
      </x:c>
      <x:c r="E4" s="673"/>
      <x:c r="F4" s="673"/>
      <x:c r="G4" s="673"/>
      <x:c r="H4" s="673"/>
    </x:row>
    <x:row r="5" ht="34" customHeight="1">
      <x:c r="A5" s="615" t="str">
        <x:v>UI-02 status</x:v>
      </x:c>
      <x:c r="B5" s="618" t="str">
        <x:v>Approved and locked · 2026-08-23</x:v>
      </x:c>
      <x:c r="D5" s="618" t="str">
        <x:v>Screen families</x:v>
      </x:c>
      <x:c r="E5" s="622" t="n">
        <x:f>COUNTA('UI02 Screen Inventory'!A5:A18)</x:f>
        <x:v>14</x:v>
      </x:c>
      <x:c r="G5" s="624" t="str">
        <x:v>SCREEN SET COMPLETE</x:v>
      </x:c>
      <x:c r="H5" s="624"/>
    </x:row>
    <x:row r="6" ht="34" customHeight="1">
      <x:c r="A6" s="615" t="str">
        <x:v>Primary target</x:v>
      </x:c>
      <x:c r="B6" s="618" t="str">
        <x:v>Desktop browser 1440×900+ · compact desktop 1280×720</x:v>
      </x:c>
      <x:c r="D6" s="618" t="str">
        <x:v>Component coverage</x:v>
      </x:c>
      <x:c r="E6" s="622" t="n">
        <x:v>40</x:v>
      </x:c>
      <x:c r="G6" s="625" t="str">
        <x:v>All 14 families use deterministic noncanonical fixtures, preserve viewpoint-safe knowledge labels, retain keyboard and alternate-input capability, define live-region behavior and recompose for compact desktop. All 17 scenarios and all 40 UI-01 components are covered.</x:v>
      </x:c>
      <x:c r="H6" s="625"/>
    </x:row>
    <x:row r="7" ht="34" customHeight="1">
      <x:c r="A7" s="615" t="str">
        <x:v>World-time model</x:v>
      </x:c>
      <x:c r="B7" s="618" t="str">
        <x:v>Ledger Time</x:v>
      </x:c>
      <x:c r="D7" s="618" t="str">
        <x:v>Scenario coverage</x:v>
      </x:c>
      <x:c r="E7" s="622" t="n">
        <x:f>COUNTA('UI02 Scenario Coverage'!A5:A21)</x:f>
        <x:v>17</x:v>
      </x:c>
      <x:c r="G7" s="625"/>
      <x:c r="H7" s="625"/>
    </x:row>
    <x:row r="8" ht="34" customHeight="1">
      <x:c r="A8" s="615" t="str">
        <x:v>Workspace model</x:v>
      </x:c>
      <x:c r="B8" s="618" t="str">
        <x:v>Adaptive Living World Stage</x:v>
      </x:c>
      <x:c r="D8" s="618" t="str">
        <x:v>Public state variants</x:v>
      </x:c>
      <x:c r="E8" s="622" t="n">
        <x:v>13</x:v>
      </x:c>
      <x:c r="G8" s="625"/>
      <x:c r="H8" s="625"/>
    </x:row>
    <x:row r="9" ht="34" customHeight="1">
      <x:c r="A9" s="615" t="str">
        <x:v>Design workflow</x:v>
      </x:c>
      <x:c r="B9" s="618" t="str">
        <x:v>Code-native and Figma-free</x:v>
      </x:c>
      <x:c r="D9" s="618" t="str">
        <x:v>Access presentations</x:v>
      </x:c>
      <x:c r="E9" s="622" t="n">
        <x:v>6</x:v>
      </x:c>
      <x:c r="G9" s="625"/>
      <x:c r="H9" s="625"/>
    </x:row>
    <x:row r="10" ht="34" customHeight="1">
      <x:c r="A10" s="615" t="str">
        <x:v>Production authorization</x:v>
      </x:c>
      <x:c r="B10" s="618" t="str">
        <x:v>CLOSED</x:v>
      </x:c>
      <x:c r="D10" s="618" t="str">
        <x:v>Unresolved UX decisions</x:v>
      </x:c>
      <x:c r="E10" s="622" t="n">
        <x:v>0</x:v>
      </x:c>
      <x:c r="G10" s="625"/>
      <x:c r="H10" s="625"/>
    </x:row>
    <x:row r="11" ht="24" customHeight="1"/>
    <x:row r="12" ht="24" customHeight="1">
      <x:c r="A12" s="627" t="str">
        <x:v>UI-02 EXPERIENCE CONTRACTS</x:v>
      </x:c>
      <x:c r="B12" s="627"/>
      <x:c r="C12" s="627"/>
      <x:c r="D12" s="627"/>
      <x:c r="E12" s="627"/>
      <x:c r="F12" s="627"/>
      <x:c r="G12" s="627"/>
      <x:c r="H12" s="627"/>
    </x:row>
    <x:row r="13" ht="24" customHeight="1">
      <x:c r="A13" s="633" t="str">
        <x:v>1</x:v>
      </x:c>
      <x:c r="B13" s="634" t="str">
        <x:v>World before rules</x:v>
      </x:c>
      <x:c r="C13" s="632" t="str">
        <x:v>The first viewport answers where the player is, what changed and what can be attempted; explanation expands only when relevant.</x:v>
      </x:c>
      <x:c r="D13" s="632"/>
      <x:c r="E13" s="632"/>
      <x:c r="F13" s="632"/>
      <x:c r="G13" s="632"/>
      <x:c r="H13" s="632"/>
    </x:row>
    <x:row r="14" ht="24" customHeight="1">
      <x:c r="A14" s="638" t="str">
        <x:v>2</x:v>
      </x:c>
      <x:c r="B14" s="639" t="str">
        <x:v>Stage gravity</x:v>
      </x:c>
      <x:c r="C14" s="637" t="str">
        <x:v>Exploration, dialogue, danger, interpretation and combat intensify the same Stage rather than switching to a chatbot transcript or separate board.</x:v>
      </x:c>
      <x:c r="D14" s="637"/>
      <x:c r="E14" s="637"/>
      <x:c r="F14" s="637"/>
      <x:c r="G14" s="637"/>
      <x:c r="H14" s="637"/>
    </x:row>
    <x:row r="15" ht="24" customHeight="1">
      <x:c r="A15" s="633" t="str">
        <x:v>3</x:v>
      </x:c>
      <x:c r="B15" s="634" t="str">
        <x:v>Agency without overload</x:v>
      </x:c>
      <x:c r="C15" s="632" t="str">
        <x:v>Free Goal and Method remain primary; contextual possibilities are examples, interpretation is correctable and forecasts expose only knowable tradeoffs.</x:v>
      </x:c>
      <x:c r="D15" s="632"/>
      <x:c r="E15" s="632"/>
      <x:c r="F15" s="632"/>
      <x:c r="G15" s="632"/>
      <x:c r="H15" s="632"/>
    </x:row>
    <x:row r="16" ht="24" customHeight="1">
      <x:c r="A16" s="638" t="str">
        <x:v>4</x:v>
      </x:c>
      <x:c r="B16" s="639" t="str">
        <x:v>Honest state</x:v>
      </x:c>
      <x:c r="C16" s="637" t="str">
        <x:v>Loading, empty, stale, conflict, recovery, unavailable, offline and public outcome classes name what happened and the safest next action.</x:v>
      </x:c>
      <x:c r="D16" s="637"/>
      <x:c r="E16" s="637"/>
      <x:c r="F16" s="637"/>
      <x:c r="G16" s="637"/>
      <x:c r="H16" s="637"/>
    </x:row>
    <x:row r="17" ht="24" customHeight="1">
      <x:c r="A17" s="633" t="str">
        <x:v>5</x:v>
      </x:c>
      <x:c r="B17" s="634" t="str">
        <x:v>Persistent world</x:v>
      </x:c>
      <x:c r="C17" s="632" t="str">
        <x:v>Chronicle, world atlas, Fronts, custody, relationships, wounds, destruction and continuation show durable consequence without leaking hidden canon.</x:v>
      </x:c>
      <x:c r="D17" s="632"/>
      <x:c r="E17" s="632"/>
      <x:c r="F17" s="632"/>
      <x:c r="G17" s="632"/>
      <x:c r="H17" s="632"/>
    </x:row>
    <x:row r="18" ht="24" customHeight="1">
      <x:c r="A18" s="638" t="str">
        <x:v>6</x:v>
      </x:c>
      <x:c r="B18" s="639" t="str">
        <x:v>Capability parity</x:v>
      </x:c>
      <x:c r="C18" s="637" t="str">
        <x:v>Compact, high-contrast, large-text, reduced-motion, screen-reader and alternate-input presentations retain the complete player loop.</x:v>
      </x:c>
      <x:c r="D18" s="637"/>
      <x:c r="E18" s="637"/>
      <x:c r="F18" s="637"/>
      <x:c r="G18" s="637"/>
      <x:c r="H18" s="637"/>
    </x:row>
    <x:row r="19" ht="24" customHeight="1"/>
    <x:row r="20" ht="24" customHeight="1">
      <x:c r="A20" s="641" t="str">
        <x:v>UI-02 APPROVED BOUNDARY</x:v>
      </x:c>
      <x:c r="B20" s="641"/>
      <x:c r="C20" s="641"/>
      <x:c r="D20" s="641"/>
      <x:c r="E20" s="641"/>
      <x:c r="F20" s="641"/>
      <x:c r="G20" s="641"/>
      <x:c r="H20" s="641"/>
    </x:row>
    <x:row r="21" ht="30" customHeight="1">
      <x:c r="A21" s="645" t="str">
        <x:v>Product-owner approval on 2026-08-23 locks the 14 final screen families, deterministic fixture boundaries, baseline state variants, interaction notes, accessibility behavior, compact recomposition and scenario/component coverage. This approval authorizes UI-03 image/icon/illustration asset-manifest work. It does not authorize production frontend construction, live engine integration, provider selection, deployment, public release or the clean-session Codex execution run.</x:v>
      </x:c>
      <x:c r="B21" s="645"/>
      <x:c r="C21" s="645"/>
      <x:c r="D21" s="645"/>
      <x:c r="E21" s="645"/>
      <x:c r="F21" s="645"/>
      <x:c r="G21" s="645"/>
      <x:c r="H21" s="645"/>
    </x:row>
    <x:row r="22" ht="30" customHeight="1">
      <x:c r="A22" s="645"/>
      <x:c r="B22" s="645"/>
      <x:c r="C22" s="645"/>
      <x:c r="D22" s="645"/>
      <x:c r="E22" s="645"/>
      <x:c r="F22" s="645"/>
      <x:c r="G22" s="645"/>
      <x:c r="H22" s="645"/>
    </x:row>
    <x:row r="23" ht="30" customHeight="1">
      <x:c r="A23" s="645"/>
      <x:c r="B23" s="645"/>
      <x:c r="C23" s="645"/>
      <x:c r="D23" s="645"/>
      <x:c r="E23" s="645"/>
      <x:c r="F23" s="645"/>
      <x:c r="G23" s="645"/>
      <x:c r="H23" s="645"/>
    </x:row>
  </x:sheetData>
  <x:mergeCells>
    <x:mergeCell ref="A1:H1"/>
    <x:mergeCell ref="A2:H2"/>
    <x:mergeCell ref="D4:H4"/>
    <x:mergeCell ref="G5:H5"/>
    <x:mergeCell ref="G6:H10"/>
    <x:mergeCell ref="A12:H12"/>
    <x:mergeCell ref="C13:H13"/>
    <x:mergeCell ref="C14:H14"/>
    <x:mergeCell ref="C15:H15"/>
    <x:mergeCell ref="C16:H16"/>
    <x:mergeCell ref="C17:H17"/>
    <x:mergeCell ref="C18:H18"/>
    <x:mergeCell ref="A20:H20"/>
    <x:mergeCell ref="A21:H23"/>
  </x:mergeCells>
  <x:pageMargins left="0.7" right="0.7" top="0.75" bottom="0.75" header="0.3" footer="0.3"/>
</x:worksheet>
</file>

<file path=xl/worksheets/sheet32.xml><?xml version="1.0" encoding="utf-8"?>
<x:worksheet xmlns:x="http://schemas.openxmlformats.org/spreadsheetml/2006/main">
  <x:sheetViews>
    <x:sheetView showGridLines="0" workbookViewId="0"/>
  </x:sheetViews>
  <x:sheetFormatPr defaultRowHeight="15"/>
  <x:cols>
    <x:col min="1" max="1" width="13" hidden="0" customWidth="1"/>
    <x:col min="2" max="2" width="29" hidden="0" customWidth="1"/>
    <x:col min="3" max="3" width="18" hidden="0" customWidth="1"/>
    <x:col min="4" max="4" width="42" hidden="0" customWidth="1"/>
    <x:col min="5" max="5" width="31" hidden="0" customWidth="1"/>
    <x:col min="6" max="6" width="34" hidden="0" customWidth="1"/>
    <x:col min="7" max="7" width="35" hidden="0" customWidth="1"/>
    <x:col min="8" max="8" width="23" hidden="0" customWidth="1"/>
    <x:col min="9" max="9" width="48" hidden="0" customWidth="1"/>
    <x:col min="10" max="10" width="14" hidden="0" customWidth="1"/>
  </x:cols>
  <x:sheetData>
    <x:row r="1">
      <x:c r="A1" s="608" t="str">
        <x:v>UI-02 • 14 FINAL HIGH-FIDELITY SCREEN FAMILIES</x:v>
      </x:c>
      <x:c r="B1" s="608" t="str">
        <x:v>UI-02 • 14 FINAL HIGH-FIDELITY SCREEN FAMILIES</x:v>
      </x:c>
      <x:c r="C1" s="608" t="str">
        <x:v>UI-02 • 14 FINAL HIGH-FIDELITY SCREEN FAMILIES</x:v>
      </x:c>
      <x:c r="D1" s="608" t="str">
        <x:v>UI-02 • 14 FINAL HIGH-FIDELITY SCREEN FAMILIES</x:v>
      </x:c>
      <x:c r="E1" s="608" t="str">
        <x:v>UI-02 • 14 FINAL HIGH-FIDELITY SCREEN FAMILIES</x:v>
      </x:c>
      <x:c r="F1" s="608" t="str">
        <x:v>UI-02 • 14 FINAL HIGH-FIDELITY SCREEN FAMILIES</x:v>
      </x:c>
      <x:c r="G1" s="608" t="str">
        <x:v>UI-02 • 14 FINAL HIGH-FIDELITY SCREEN FAMILIES</x:v>
      </x:c>
      <x:c r="H1" s="608" t="str">
        <x:v>UI-02 • 14 FINAL HIGH-FIDELITY SCREEN FAMILIES</x:v>
      </x:c>
      <x:c r="I1" s="608" t="str">
        <x:v>UI-02 • 14 FINAL HIGH-FIDELITY SCREEN FAMILIES</x:v>
      </x:c>
      <x:c r="J1" s="608" t="str">
        <x:v>UI-02 • 14 FINAL HIGH-FIDELITY SCREEN FAMILIES</x:v>
      </x:c>
    </x:row>
    <x:row r="2">
      <x:c r="A2" s="612" t="str">
        <x:v>Every screen family carries a player question, viewpoint-safe fixture boundary, responsive rule, accessibility behavior and trace coverage</x:v>
      </x:c>
      <x:c r="B2" s="612" t="str">
        <x:v>Every screen family carries a player question, viewpoint-safe fixture boundary, responsive rule, accessibility behavior and trace coverage</x:v>
      </x:c>
      <x:c r="C2" s="612" t="str">
        <x:v>Every screen family carries a player question, viewpoint-safe fixture boundary, responsive rule, accessibility behavior and trace coverage</x:v>
      </x:c>
      <x:c r="D2" s="612" t="str">
        <x:v>Every screen family carries a player question, viewpoint-safe fixture boundary, responsive rule, accessibility behavior and trace coverage</x:v>
      </x:c>
      <x:c r="E2" s="612" t="str">
        <x:v>Every screen family carries a player question, viewpoint-safe fixture boundary, responsive rule, accessibility behavior and trace coverage</x:v>
      </x:c>
      <x:c r="F2" s="612" t="str">
        <x:v>Every screen family carries a player question, viewpoint-safe fixture boundary, responsive rule, accessibility behavior and trace coverage</x:v>
      </x:c>
      <x:c r="G2" s="612" t="str">
        <x:v>Every screen family carries a player question, viewpoint-safe fixture boundary, responsive rule, accessibility behavior and trace coverage</x:v>
      </x:c>
      <x:c r="H2" s="612" t="str">
        <x:v>Every screen family carries a player question, viewpoint-safe fixture boundary, responsive rule, accessibility behavior and trace coverage</x:v>
      </x:c>
      <x:c r="I2" s="612" t="str">
        <x:v>Every screen family carries a player question, viewpoint-safe fixture boundary, responsive rule, accessibility behavior and trace coverage</x:v>
      </x:c>
      <x:c r="J2" s="612" t="str">
        <x:v>Every screen family carries a player question, viewpoint-safe fixture boundary, responsive rule, accessibility behavior and trace coverage</x:v>
      </x:c>
    </x:row>
    <x:row r="4">
      <x:c r="A4" s="652" t="str">
        <x:v>Screen ID</x:v>
      </x:c>
      <x:c r="B4" s="653" t="str">
        <x:v>Screen family</x:v>
      </x:c>
      <x:c r="C4" s="653" t="str">
        <x:v>Destination</x:v>
      </x:c>
      <x:c r="D4" s="653" t="str">
        <x:v>Primary player question</x:v>
      </x:c>
      <x:c r="E4" s="653" t="str">
        <x:v>Subviews</x:v>
      </x:c>
      <x:c r="F4" s="653" t="str">
        <x:v>State variants</x:v>
      </x:c>
      <x:c r="G4" s="653" t="str">
        <x:v>UI-01 components</x:v>
      </x:c>
      <x:c r="H4" s="653" t="str">
        <x:v>Scenarios</x:v>
      </x:c>
      <x:c r="I4" s="653" t="str">
        <x:v>Compact behavior</x:v>
      </x:c>
      <x:c r="J4" s="654" t="str">
        <x:v>Status</x:v>
      </x:c>
    </x:row>
    <x:row r="5" ht="84" customHeight="1">
      <x:c r="A5" s="632" t="str">
        <x:v>SCR-01</x:v>
      </x:c>
      <x:c r="B5" s="632" t="str">
        <x:v>Campaign Library &amp; Resume</x:v>
      </x:c>
      <x:c r="C5" s="632" t="str">
        <x:v>Out-of-campaign</x:v>
      </x:c>
      <x:c r="D5" s="632" t="str">
        <x:v>Where was I, and can I safely continue?</x:v>
      </x:c>
      <x:c r="E5" s="632" t="str">
        <x:v>Resume · All campaigns · Practice · Archive</x:v>
      </x:c>
      <x:c r="F5" s="632" t="str">
        <x:v>Ready · Loading · Empty · Stale · Conflict · Recovery · Offline</x:v>
      </x:c>
      <x:c r="G5" s="632" t="str">
        <x:v>CMP-01, CMP-02, CMP-06, CMP-07, CMP-08, CMP-35, CMP-36, CMP-37, CMP-38, CMP-39, CMP-40</x:v>
      </x:c>
      <x:c r="H5" s="632" t="str">
        <x:v>SCN-01, SCN-13, SCN-17</x:v>
      </x:c>
      <x:c r="I5" s="632" t="str">
        <x:v>Campaign cards become a single list; resume remains first and every management action stays available.</x:v>
      </x:c>
      <x:c r="J5" s="674" t="str">
        <x:v>Approved</x:v>
      </x:c>
    </x:row>
    <x:row r="6" ht="84" customHeight="1">
      <x:c r="A6" s="655" t="str">
        <x:v>SCR-02</x:v>
      </x:c>
      <x:c r="B6" s="655" t="str">
        <x:v>New Campaign &amp; Issue #0</x:v>
      </x:c>
      <x:c r="C6" s="655" t="str">
        <x:v>Out-of-campaign</x:v>
      </x:c>
      <x:c r="D6" s="655" t="str">
        <x:v>What kind of story am I entering, and what may I control?</x:v>
      </x:c>
      <x:c r="E6" s="655" t="str">
        <x:v>Premise · Content · Onboarding · Issue #0</x:v>
      </x:c>
      <x:c r="F6" s="655" t="str">
        <x:v>Ready · Loading · Unavailable · Success · Compact</x:v>
      </x:c>
      <x:c r="G6" s="655" t="str">
        <x:v>CMP-01, CMP-02, CMP-03, CMP-06, CMP-07, CMP-08, CMP-12, CMP-35, CMP-36, CMP-37, CMP-38, CMP-39, CMP-40</x:v>
      </x:c>
      <x:c r="H6" s="655" t="str">
        <x:v>SCN-01, SCN-15, SCN-16, SCN-17</x:v>
      </x:c>
      <x:c r="I6" s="655" t="str">
        <x:v>The step rail becomes a progress line; summaries remain immediately above Continue.</x:v>
      </x:c>
      <x:c r="J6" s="675" t="str">
        <x:v>Approved</x:v>
      </x:c>
    </x:row>
    <x:row r="7" ht="84" customHeight="1">
      <x:c r="A7" s="656" t="str">
        <x:v>SCR-03</x:v>
      </x:c>
      <x:c r="B7" s="656" t="str">
        <x:v>Character Creation &amp; BP Review</x:v>
      </x:c>
      <x:c r="C7" s="656" t="str">
        <x:v>Character</x:v>
      </x:c>
      <x:c r="D7" s="656" t="str">
        <x:v>Who can I be, and is this build legal without hiding tradeoffs?</x:v>
      </x:c>
      <x:c r="E7" s="656" t="str">
        <x:v>Concept · Capabilities · Identity · BP review · Commit</x:v>
      </x:c>
      <x:c r="F7" s="656" t="str">
        <x:v>Ready · Empty · Conflict · Unavailable · Success</x:v>
      </x:c>
      <x:c r="G7" s="656" t="str">
        <x:v>CMP-01, CMP-02, CMP-03, CMP-05, CMP-06, CMP-07, CMP-08, CMP-12, CMP-13, CMP-14, CMP-15, CMP-21, CMP-35, CMP-36, CMP-37, CMP-38, CMP-39, CMP-40</x:v>
      </x:c>
      <x:c r="H7" s="656" t="str">
        <x:v>SCN-02, SCN-03, SCN-16, SCN-17</x:v>
      </x:c>
      <x:c r="I7" s="656" t="str">
        <x:v>The BP ledger becomes an expandable summary but its total and invalid reasons remain visible.</x:v>
      </x:c>
      <x:c r="J7" s="675" t="str">
        <x:v>Approved</x:v>
      </x:c>
    </x:row>
    <x:row r="8" ht="84" customHeight="1">
      <x:c r="A8" s="655" t="str">
        <x:v>SCR-04</x:v>
      </x:c>
      <x:c r="B8" s="655" t="str">
        <x:v>Living Stage · Exploration &amp; Social</x:v>
      </x:c>
      <x:c r="C8" s="655" t="str">
        <x:v>Stage</x:v>
      </x:c>
      <x:c r="D8" s="655" t="str">
        <x:v>What is happening, what matters, and what can I try?</x:v>
      </x:c>
      <x:c r="E8" s="655" t="str">
        <x:v>Exploration · Social · Travel edge · Quiet scene</x:v>
      </x:c>
      <x:c r="F8" s="655" t="str">
        <x:v>Ready · Loading · Stale · Unavailable · Offline · Interruption</x:v>
      </x:c>
      <x:c r="G8" s="655" t="str">
        <x:v>CMP-01, CMP-02, CMP-03, CMP-04, CMP-05, CMP-06, CMP-07, CMP-08, CMP-09, CMP-10, CMP-11, CMP-12, CMP-13, CMP-14, CMP-15, CMP-16, CMP-17, CMP-18, CMP-19, CMP-20, CMP-29, CMP-35, CMP-36, CMP-37, CMP-38, CMP-39, CMP-40</x:v>
      </x:c>
      <x:c r="H8" s="655" t="str">
        <x:v>SCN-01, SCN-04, SCN-09, SCN-16, SCN-17</x:v>
      </x:c>
      <x:c r="I8" s="655" t="str">
        <x:v>The Lens follows the scene and the Intent Dock follows the Lens; markers become a structured list.</x:v>
      </x:c>
      <x:c r="J8" s="675" t="str">
        <x:v>Approved</x:v>
      </x:c>
    </x:row>
    <x:row r="9" ht="84" customHeight="1">
      <x:c r="A9" s="656" t="str">
        <x:v>SCR-05</x:v>
      </x:c>
      <x:c r="B9" s="656" t="str">
        <x:v>Interpretation, Forecast &amp; Resolution</x:v>
      </x:c>
      <x:c r="C9" s="656" t="str">
        <x:v>Stage</x:v>
      </x:c>
      <x:c r="D9" s="656" t="str">
        <x:v>Did the game understand me, what can I know, and what changed?</x:v>
      </x:c>
      <x:c r="E9" s="656" t="str">
        <x:v>Interpret · Forecast · Commit · Outcome</x:v>
      </x:c>
      <x:c r="F9" s="656" t="str">
        <x:v>Ready · Loading · Conflict · Success · Mixed · Failure · Refusal · Interruption · Unavailable</x:v>
      </x:c>
      <x:c r="G9" s="656" t="str">
        <x:v>CMP-05, CMP-07, CMP-08, CMP-12, CMP-13, CMP-14, CMP-15, CMP-16, CMP-17, CMP-18, CMP-19, CMP-35, CMP-36, CMP-37, CMP-38, CMP-39, CMP-40</x:v>
      </x:c>
      <x:c r="H9" s="656" t="str">
        <x:v>SCN-04, SCN-05, SCN-16, SCN-17</x:v>
      </x:c>
      <x:c r="I9" s="656" t="str">
        <x:v>Interpretation, forecast and receipt stack in causal order; correction remains adjacent to the changed field.</x:v>
      </x:c>
      <x:c r="J9" s="675" t="str">
        <x:v>Approved</x:v>
      </x:c>
    </x:row>
    <x:row r="10" ht="84" customHeight="1">
      <x:c r="A10" s="655" t="str">
        <x:v>SCR-06</x:v>
      </x:c>
      <x:c r="B10" s="655" t="str">
        <x:v>Immediate Danger, Interrupt &amp; Defeat</x:v>
      </x:c>
      <x:c r="C10" s="655" t="str">
        <x:v>Stage</x:v>
      </x:c>
      <x:c r="D10" s="655" t="str">
        <x:v>What changed under pressure, what can I still do, and how does play continue?</x:v>
      </x:c>
      <x:c r="E10" s="655" t="str">
        <x:v>Danger · Interrupt · Outcome · Defeat · Continuation</x:v>
      </x:c>
      <x:c r="F10" s="655" t="str">
        <x:v>Ready · Loading · Interruption · Mixed · Failure · Recovery · Unavailable</x:v>
      </x:c>
      <x:c r="G10" s="655" t="str">
        <x:v>CMP-07, CMP-08, CMP-09, CMP-13, CMP-14, CMP-15, CMP-16, CMP-17, CMP-18, CMP-19, CMP-20, CMP-22, CMP-35, CMP-36, CMP-37, CMP-38, CMP-39, CMP-40</x:v>
      </x:c>
      <x:c r="H10" s="655" t="str">
        <x:v>SCN-06, SCN-12, SCN-16, SCN-17</x:v>
      </x:c>
      <x:c r="I10" s="655" t="str">
        <x:v>Tactical facts become an ordered strip above the scene; no separate combat board replaces the Stage.</x:v>
      </x:c>
      <x:c r="J10" s="675" t="str">
        <x:v>Approved</x:v>
      </x:c>
    </x:row>
    <x:row r="11" ht="84" customHeight="1">
      <x:c r="A11" s="656" t="str">
        <x:v>SCR-07</x:v>
      </x:c>
      <x:c r="B11" s="656" t="str">
        <x:v>Character, Condition &amp; Progression</x:v>
      </x:c>
      <x:c r="C11" s="656" t="str">
        <x:v>Character</x:v>
      </x:c>
      <x:c r="D11" s="656" t="str">
        <x:v>What can I do now, what is affecting me, and how may I grow?</x:v>
      </x:c>
      <x:c r="E11" s="656" t="str">
        <x:v>Overview · Capabilities · Condition · Progression · Identity</x:v>
      </x:c>
      <x:c r="F11" s="656" t="str">
        <x:v>Ready · Loading · Empty · Conflict · Success · Unavailable</x:v>
      </x:c>
      <x:c r="G11" s="656" t="str">
        <x:v>CMP-02, CMP-03, CMP-06, CMP-07, CMP-08, CMP-21, CMP-22, CMP-35, CMP-36, CMP-37, CMP-38, CMP-39, CMP-40</x:v>
      </x:c>
      <x:c r="H11" s="656" t="str">
        <x:v>SCN-03, SCN-06, SCN-12, SCN-17</x:v>
      </x:c>
      <x:c r="I11" s="656" t="str">
        <x:v>Condition precedes capability lists when active; progression totals remain visible in collapsed groups.</x:v>
      </x:c>
      <x:c r="J11" s="675" t="str">
        <x:v>Approved</x:v>
      </x:c>
    </x:row>
    <x:row r="12" ht="84" customHeight="1">
      <x:c r="A12" s="655" t="str">
        <x:v>SCR-08</x:v>
      </x:c>
      <x:c r="B12" s="655" t="str">
        <x:v>Company, Relationships &amp; Relic Agency</x:v>
      </x:c>
      <x:c r="C12" s="655" t="str">
        <x:v>Company</x:v>
      </x:c>
      <x:c r="D12" s="655" t="str">
        <x:v>Who is with me, what do we know about each other, and who may say no?</x:v>
      </x:c>
      <x:c r="E12" s="655" t="str">
        <x:v>Roster · Relationships · Relics · Team · Autonomy</x:v>
      </x:c>
      <x:c r="F12" s="655" t="str">
        <x:v>Ready · Empty · Stale · Refusal · Conflict · Unavailable</x:v>
      </x:c>
      <x:c r="G12" s="655" t="str">
        <x:v>CMP-02, CMP-03, CMP-06, CMP-07, CMP-08, CMP-23, CMP-24, CMP-35, CMP-36, CMP-37, CMP-38, CMP-39, CMP-40</x:v>
      </x:c>
      <x:c r="H12" s="655" t="str">
        <x:v>SCN-07, SCN-08, SCN-16, SCN-17</x:v>
      </x:c>
      <x:c r="I12" s="655" t="str">
        <x:v>Cards become a single evidence-first list; autonomy terms never collapse into unlabeled meters.</x:v>
      </x:c>
      <x:c r="J12" s="675" t="str">
        <x:v>Approved</x:v>
      </x:c>
    </x:row>
    <x:row r="13" ht="84" customHeight="1">
      <x:c r="A13" s="656" t="str">
        <x:v>SCR-09</x:v>
      </x:c>
      <x:c r="B13" s="656" t="str">
        <x:v>Holdings, Custody &amp; Projects</x:v>
      </x:c>
      <x:c r="C13" s="656" t="str">
        <x:v>Holdings</x:v>
      </x:c>
      <x:c r="D13" s="656" t="str">
        <x:v>What do I have, who controls it, and what will this project really require?</x:v>
      </x:c>
      <x:c r="E13" s="656" t="str">
        <x:v>Inventory · Equipment · Custody · Vehicles · Projects</x:v>
      </x:c>
      <x:c r="F13" s="656" t="str">
        <x:v>Ready · Empty · Stale · Conflict · Recovery · Unavailable</x:v>
      </x:c>
      <x:c r="G13" s="656" t="str">
        <x:v>CMP-02, CMP-03, CMP-06, CMP-07, CMP-08, CMP-25, CMP-26, CMP-27, CMP-35, CMP-36, CMP-37, CMP-38, CMP-39, CMP-40</x:v>
      </x:c>
      <x:c r="H13" s="656" t="str">
        <x:v>SCN-06, SCN-16, SCN-17</x:v>
      </x:c>
      <x:c r="I13" s="656" t="str">
        <x:v>Comparisons become item-first sections; project checkpoints stay ordered and resumable.</x:v>
      </x:c>
      <x:c r="J13" s="675" t="str">
        <x:v>Approved</x:v>
      </x:c>
    </x:row>
    <x:row r="14" ht="84" customHeight="1">
      <x:c r="A14" s="655" t="str">
        <x:v>SCR-10</x:v>
      </x:c>
      <x:c r="B14" s="655" t="str">
        <x:v>World Atlas, Travel &amp; Exploration</x:v>
      </x:c>
      <x:c r="C14" s="655" t="str">
        <x:v>World</x:v>
      </x:c>
      <x:c r="D14" s="655" t="str">
        <x:v>Where do I believe I am, what route can I attempt, and what remains unknown?</x:v>
      </x:c>
      <x:c r="E14" s="655" t="str">
        <x:v>Atlas · Travel · Knowledge · Sites · Exploration</x:v>
      </x:c>
      <x:c r="F14" s="655" t="str">
        <x:v>Ready · Loading · Stale · Interruption · Recovery · Unavailable · Offline</x:v>
      </x:c>
      <x:c r="G14" s="655" t="str">
        <x:v>CMP-02, CMP-03, CMP-06, CMP-07, CMP-08, CMP-28, CMP-29, CMP-35, CMP-36, CMP-37, CMP-38, CMP-39, CMP-40</x:v>
      </x:c>
      <x:c r="H14" s="655" t="str">
        <x:v>SCN-09, SCN-11, SCN-13, SCN-16, SCN-17</x:v>
      </x:c>
      <x:c r="I14" s="655" t="str">
        <x:v>The visual map gains a complete ordered place and route list; planning capability is unchanged.</x:v>
      </x:c>
      <x:c r="J14" s="675" t="str">
        <x:v>Approved</x:v>
      </x:c>
    </x:row>
    <x:row r="15" ht="84" customHeight="1">
      <x:c r="A15" s="656" t="str">
        <x:v>SCR-11</x:v>
      </x:c>
      <x:c r="B15" s="656" t="str">
        <x:v>Cases, Evidence, Fronts &amp; Law</x:v>
      </x:c>
      <x:c r="C15" s="656" t="str">
        <x:v>World</x:v>
      </x:c>
      <x:c r="D15" s="656" t="str">
        <x:v>What can I support, what is disputed, and what pressure is actually visible?</x:v>
      </x:c>
      <x:c r="E15" s="656" t="str">
        <x:v>Cases · Evidence · Fronts · Factions · Law</x:v>
      </x:c>
      <x:c r="F15" s="656" t="str">
        <x:v>Ready · Empty · Stale · Conflict · Success · Mixed · Unavailable</x:v>
      </x:c>
      <x:c r="G15" s="656" t="str">
        <x:v>CMP-02, CMP-03, CMP-06, CMP-07, CMP-08, CMP-30, CMP-31, CMP-32, CMP-35, CMP-36, CMP-37, CMP-38, CMP-39, CMP-40</x:v>
      </x:c>
      <x:c r="H15" s="656" t="str">
        <x:v>SCN-06, SCN-10, SCN-11, SCN-13, SCN-16, SCN-17</x:v>
      </x:c>
      <x:c r="I15" s="656" t="str">
        <x:v>Claims stay evidence-first; Front pressure and legal stages become ordered text with identical meaning.</x:v>
      </x:c>
      <x:c r="J15" s="675" t="str">
        <x:v>Approved</x:v>
      </x:c>
    </x:row>
    <x:row r="16" ht="84" customHeight="1">
      <x:c r="A16" s="655" t="str">
        <x:v>SCR-12</x:v>
      </x:c>
      <x:c r="B16" s="655" t="str">
        <x:v>Chronicle, Audit &amp; Comic Reader</x:v>
      </x:c>
      <x:c r="C16" s="655" t="str">
        <x:v>Chronicle</x:v>
      </x:c>
      <x:c r="D16" s="655" t="str">
        <x:v>What became canon, why did it change, and is the comic safe to read?</x:v>
      </x:c>
      <x:c r="E16" s="655" t="str">
        <x:v>Timeline · Audit · Comic queue · Issue Library · Reader · Editor</x:v>
      </x:c>
      <x:c r="F16" s="655" t="str">
        <x:v>Ready · Loading · Empty · Stale · Recovery · Unavailable · Offline · Success</x:v>
      </x:c>
      <x:c r="G16" s="655" t="str">
        <x:v>CMP-02, CMP-03, CMP-06, CMP-07, CMP-08, CMP-17, CMP-33, CMP-34, CMP-35, CMP-36, CMP-37, CMP-38, CMP-39, CMP-40</x:v>
      </x:c>
      <x:c r="H16" s="655" t="str">
        <x:v>SCN-11, SCN-12, SCN-13, SCN-14, SCN-16, SCN-17</x:v>
      </x:c>
      <x:c r="I16" s="655" t="str">
        <x:v>Timeline, audit and reader keep document order; comic controls become labeled rows with page/strip mode intact.</x:v>
      </x:c>
      <x:c r="J16" s="675" t="str">
        <x:v>Approved</x:v>
      </x:c>
    </x:row>
    <x:row r="17" ht="84" customHeight="1">
      <x:c r="A17" s="656" t="str">
        <x:v>SCR-13</x:v>
      </x:c>
      <x:c r="B17" s="656" t="str">
        <x:v>Save Recovery, Offline &amp; Conflict</x:v>
      </x:c>
      <x:c r="C17" s="656" t="str">
        <x:v>System layer</x:v>
      </x:c>
      <x:c r="D17" s="656" t="str">
        <x:v>What was saved, what is uncertain, and how do I return without losing work?</x:v>
      </x:c>
      <x:c r="E17" s="656" t="str">
        <x:v>Offline · Unknown commit · Draft recovery · Version conflict · Provider failure</x:v>
      </x:c>
      <x:c r="F17" s="656" t="str">
        <x:v>Loading · Stale · Conflict · Recovery · Unavailable · Offline · Success</x:v>
      </x:c>
      <x:c r="G17" s="656" t="str">
        <x:v>CMP-01, CMP-02, CMP-03, CMP-06, CMP-07, CMP-08, CMP-17, CMP-35, CMP-36, CMP-37, CMP-38, CMP-39, CMP-40</x:v>
      </x:c>
      <x:c r="H17" s="656" t="str">
        <x:v>SCN-14, SCN-16, SCN-17</x:v>
      </x:c>
      <x:c r="I17" s="656" t="str">
        <x:v>Side-by-side conflict becomes a labeled sequence: local draft, committed canon, available resolution.</x:v>
      </x:c>
      <x:c r="J17" s="675" t="str">
        <x:v>Approved</x:v>
      </x:c>
    </x:row>
    <x:row r="18" ht="84" customHeight="1">
      <x:c r="A18" s="657" t="str">
        <x:v>SCR-14</x:v>
      </x:c>
      <x:c r="B18" s="657" t="str">
        <x:v>Settings, Accessibility &amp; Content Controls</x:v>
      </x:c>
      <x:c r="C18" s="657" t="str">
        <x:v>Out-of-campaign</x:v>
      </x:c>
      <x:c r="D18" s="657" t="str">
        <x:v>Can I shape how the game communicates without losing capability?</x:v>
      </x:c>
      <x:c r="E18" s="657" t="str">
        <x:v>Access · Input · Content · Audio · Language · Support</x:v>
      </x:c>
      <x:c r="F18" s="657" t="str">
        <x:v>Ready · Loading · Conflict · Recovery · Unavailable · Success</x:v>
      </x:c>
      <x:c r="G18" s="657" t="str">
        <x:v>CMP-01, CMP-02, CMP-03, CMP-06, CMP-07, CMP-08, CMP-35, CMP-36, CMP-37, CMP-38, CMP-39, CMP-40</x:v>
      </x:c>
      <x:c r="H18" s="657" t="str">
        <x:v>SCN-16, SCN-17</x:v>
      </x:c>
      <x:c r="I18" s="657" t="str">
        <x:v>All settings remain available in a single labeled column; pointer-only interactions receive button equivalents.</x:v>
      </x:c>
      <x:c r="J18" s="676" t="str">
        <x:v>Approved</x:v>
      </x:c>
    </x:row>
  </x:sheetData>
  <x:mergeCells>
    <x:mergeCell ref="A1:J1"/>
    <x:mergeCell ref="A2:J2"/>
  </x:mergeCells>
  <x:dataValidations count="1">
    <x:dataValidation type="list" sqref="J5:J18">
      <x:formula1>"Candidate,Approved,Deferred"</x:formula1>
    </x:dataValidation>
  </x:dataValidations>
  <x:pageMargins left="0.7" right="0.7" top="0.75" bottom="0.75" header="0.3" footer="0.3"/>
  <x:tableParts count="1">
    <x:tablePart xmlns:r="http://schemas.openxmlformats.org/officeDocument/2006/relationships" r:id="Rf2a0ade712d24acf"/>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20" hidden="0" customWidth="1"/>
    <x:col min="2" max="2" width="21" hidden="0" customWidth="1"/>
    <x:col min="3" max="3" width="34" hidden="0" customWidth="1"/>
    <x:col min="4" max="4" width="35" hidden="0" customWidth="1"/>
    <x:col min="5" max="5" width="34" hidden="0" customWidth="1"/>
    <x:col min="6" max="6" width="29" hidden="0" customWidth="1"/>
    <x:col min="7" max="7" width="42" hidden="0" customWidth="1"/>
    <x:col min="8" max="8" width="14" hidden="0" customWidth="1"/>
  </x:cols>
  <x:sheetData>
    <x:row r="1">
      <x:c r="A1" s="608" t="str">
        <x:v>UI-02 • STATE AND ACCESS VARIANT COVERAGE</x:v>
      </x:c>
      <x:c r="B1" s="608" t="str">
        <x:v>UI-02 • STATE AND ACCESS VARIANT COVERAGE</x:v>
      </x:c>
      <x:c r="C1" s="608" t="str">
        <x:v>UI-02 • STATE AND ACCESS VARIANT COVERAGE</x:v>
      </x:c>
      <x:c r="D1" s="608" t="str">
        <x:v>UI-02 • STATE AND ACCESS VARIANT COVERAGE</x:v>
      </x:c>
      <x:c r="E1" s="608" t="str">
        <x:v>UI-02 • STATE AND ACCESS VARIANT COVERAGE</x:v>
      </x:c>
      <x:c r="F1" s="608" t="str">
        <x:v>UI-02 • STATE AND ACCESS VARIANT COVERAGE</x:v>
      </x:c>
      <x:c r="G1" s="608" t="str">
        <x:v>UI-02 • STATE AND ACCESS VARIANT COVERAGE</x:v>
      </x:c>
      <x:c r="H1" s="608" t="str">
        <x:v>UI-02 • STATE AND ACCESS VARIANT COVERAGE</x:v>
      </x:c>
    </x:row>
    <x:row r="2">
      <x:c r="A2" s="612" t="str">
        <x:v>State words, noncolor cues, system promises, recovery paths and access presentations remain consistent across the final screens</x:v>
      </x:c>
      <x:c r="B2" s="612" t="str">
        <x:v>State words, noncolor cues, system promises, recovery paths and access presentations remain consistent across the final screens</x:v>
      </x:c>
      <x:c r="C2" s="612" t="str">
        <x:v>State words, noncolor cues, system promises, recovery paths and access presentations remain consistent across the final screens</x:v>
      </x:c>
      <x:c r="D2" s="612" t="str">
        <x:v>State words, noncolor cues, system promises, recovery paths and access presentations remain consistent across the final screens</x:v>
      </x:c>
      <x:c r="E2" s="612" t="str">
        <x:v>State words, noncolor cues, system promises, recovery paths and access presentations remain consistent across the final screens</x:v>
      </x:c>
      <x:c r="F2" s="612" t="str">
        <x:v>State words, noncolor cues, system promises, recovery paths and access presentations remain consistent across the final screens</x:v>
      </x:c>
      <x:c r="G2" s="612" t="str">
        <x:v>State words, noncolor cues, system promises, recovery paths and access presentations remain consistent across the final screens</x:v>
      </x:c>
      <x:c r="H2" s="612" t="str">
        <x:v>State words, noncolor cues, system promises, recovery paths and access presentations remain consistent across the final screens</x:v>
      </x:c>
    </x:row>
    <x:row r="4">
      <x:c r="A4" s="652" t="str">
        <x:v>Variant</x:v>
      </x:c>
      <x:c r="B4" s="653" t="str">
        <x:v>Category</x:v>
      </x:c>
      <x:c r="C4" s="653" t="str">
        <x:v>Visible cue</x:v>
      </x:c>
      <x:c r="D4" s="653" t="str">
        <x:v>System promise</x:v>
      </x:c>
      <x:c r="E4" s="653" t="str">
        <x:v>Required screen families</x:v>
      </x:c>
      <x:c r="F4" s="653" t="str">
        <x:v>Player path</x:v>
      </x:c>
      <x:c r="G4" s="653" t="str">
        <x:v>Canonical / access boundary</x:v>
      </x:c>
      <x:c r="H4" s="654" t="str">
        <x:v>Status</x:v>
      </x:c>
    </x:row>
    <x:row r="5" ht="66" customHeight="1">
      <x:c r="A5" s="632" t="str">
        <x:v>Ready</x:v>
      </x:c>
      <x:c r="B5" s="632" t="str">
        <x:v>Public state</x:v>
      </x:c>
      <x:c r="C5" s="632" t="str">
        <x:v>Circle + current label</x:v>
      </x:c>
      <x:c r="D5" s="632" t="str">
        <x:v>Current projection is usable</x:v>
      </x:c>
      <x:c r="E5" s="632" t="str">
        <x:v>All applicable</x:v>
      </x:c>
      <x:c r="F5" s="632" t="str">
        <x:v>Continue or inspect</x:v>
      </x:c>
      <x:c r="G5" s="632" t="str">
        <x:v>No freshness inferred beyond projection</x:v>
      </x:c>
      <x:c r="H5" s="674" t="str">
        <x:v>Approved</x:v>
      </x:c>
    </x:row>
    <x:row r="6" ht="66" customHeight="1">
      <x:c r="A6" s="655" t="str">
        <x:v>Loading</x:v>
      </x:c>
      <x:c r="B6" s="655" t="str">
        <x:v>Public state</x:v>
      </x:c>
      <x:c r="C6" s="655" t="str">
        <x:v>Open circle + skeleton + label</x:v>
      </x:c>
      <x:c r="D6" s="655" t="str">
        <x:v>No false completion</x:v>
      </x:c>
      <x:c r="E6" s="655" t="str">
        <x:v>SCR-01, 02, 04–07, 10, 12–14</x:v>
      </x:c>
      <x:c r="F6" s="655" t="str">
        <x:v>Wait or leave safely</x:v>
      </x:c>
      <x:c r="G6" s="655" t="str">
        <x:v>No mutation inferred</x:v>
      </x:c>
      <x:c r="H6" s="675" t="str">
        <x:v>Approved</x:v>
      </x:c>
    </x:row>
    <x:row r="7" ht="66" customHeight="1">
      <x:c r="A7" s="656" t="str">
        <x:v>Empty</x:v>
      </x:c>
      <x:c r="B7" s="656" t="str">
        <x:v>Public state</x:v>
      </x:c>
      <x:c r="C7" s="656" t="str">
        <x:v>Diamond + named absence</x:v>
      </x:c>
      <x:c r="D7" s="656" t="str">
        <x:v>Absence is not error</x:v>
      </x:c>
      <x:c r="E7" s="656" t="str">
        <x:v>SCR-01, 03, 07–09, 11–12</x:v>
      </x:c>
      <x:c r="F7" s="656" t="str">
        <x:v>Create or return</x:v>
      </x:c>
      <x:c r="G7" s="656" t="str">
        <x:v>No data invented</x:v>
      </x:c>
      <x:c r="H7" s="675" t="str">
        <x:v>Approved</x:v>
      </x:c>
    </x:row>
    <x:row r="8" ht="66" customHeight="1">
      <x:c r="A8" s="655" t="str">
        <x:v>Stale</x:v>
      </x:c>
      <x:c r="B8" s="655" t="str">
        <x:v>Public state</x:v>
      </x:c>
      <x:c r="C8" s="655" t="str">
        <x:v>Triangle + age + last-known</x:v>
      </x:c>
      <x:c r="D8" s="655" t="str">
        <x:v>Old truth is marked</x:v>
      </x:c>
      <x:c r="E8" s="655" t="str">
        <x:v>SCR-01, 04, 08–13</x:v>
      </x:c>
      <x:c r="F8" s="655" t="str">
        <x:v>Refresh or proceed knowingly</x:v>
      </x:c>
      <x:c r="G8" s="655" t="str">
        <x:v>Commit suspends when material</x:v>
      </x:c>
      <x:c r="H8" s="675" t="str">
        <x:v>Approved</x:v>
      </x:c>
    </x:row>
    <x:row r="9" ht="66" customHeight="1">
      <x:c r="A9" s="656" t="str">
        <x:v>Conflict</x:v>
      </x:c>
      <x:c r="B9" s="656" t="str">
        <x:v>Public state</x:v>
      </x:c>
      <x:c r="C9" s="656" t="str">
        <x:v>Split diamond + difference</x:v>
      </x:c>
      <x:c r="D9" s="656" t="str">
        <x:v>Draft and canon preserved</x:v>
      </x:c>
      <x:c r="E9" s="656" t="str">
        <x:v>SCR-01, 03, 05, 07–09, 11, 13–14</x:v>
      </x:c>
      <x:c r="F9" s="656" t="str">
        <x:v>Review, merge or cancel</x:v>
      </x:c>
      <x:c r="G9" s="656" t="str">
        <x:v>Reducer remains authoritative</x:v>
      </x:c>
      <x:c r="H9" s="675" t="str">
        <x:v>Approved</x:v>
      </x:c>
    </x:row>
    <x:row r="10" ht="66" customHeight="1">
      <x:c r="A10" s="655" t="str">
        <x:v>Recovery</x:v>
      </x:c>
      <x:c r="B10" s="655" t="str">
        <x:v>Public state</x:v>
      </x:c>
      <x:c r="C10" s="655" t="str">
        <x:v>Return arrow + retained work</x:v>
      </x:c>
      <x:c r="D10" s="655" t="str">
        <x:v>Draft survives failure</x:v>
      </x:c>
      <x:c r="E10" s="655" t="str">
        <x:v>SCR-01, 06, 09–10, 12–14</x:v>
      </x:c>
      <x:c r="F10" s="655" t="str">
        <x:v>Retry lookup or restore</x:v>
      </x:c>
      <x:c r="G10" s="655" t="str">
        <x:v>Lookup before retry</x:v>
      </x:c>
      <x:c r="H10" s="675" t="str">
        <x:v>Approved</x:v>
      </x:c>
    </x:row>
    <x:row r="11" ht="66" customHeight="1">
      <x:c r="A11" s="656" t="str">
        <x:v>Unavailable</x:v>
      </x:c>
      <x:c r="B11" s="656" t="str">
        <x:v>Public state</x:v>
      </x:c>
      <x:c r="C11" s="656" t="str">
        <x:v>Square + reason + boundary</x:v>
      </x:c>
      <x:c r="D11" s="656" t="str">
        <x:v>No invented permission</x:v>
      </x:c>
      <x:c r="E11" s="656" t="str">
        <x:v>SCR-02–14</x:v>
      </x:c>
      <x:c r="F11" s="656" t="str">
        <x:v>Choose valid alternative</x:v>
      </x:c>
      <x:c r="G11" s="656" t="str">
        <x:v>Actor-safe reason only</x:v>
      </x:c>
      <x:c r="H11" s="675" t="str">
        <x:v>Approved</x:v>
      </x:c>
    </x:row>
    <x:row r="12" ht="66" customHeight="1">
      <x:c r="A12" s="655" t="str">
        <x:v>Offline</x:v>
      </x:c>
      <x:c r="B12" s="655" t="str">
        <x:v>Public state</x:v>
      </x:c>
      <x:c r="C12" s="655" t="str">
        <x:v>Slashed circle + saved layer</x:v>
      </x:c>
      <x:c r="D12" s="655" t="str">
        <x:v>Confirmed records remain identified</x:v>
      </x:c>
      <x:c r="E12" s="655" t="str">
        <x:v>SCR-01, 04, 10, 12–13</x:v>
      </x:c>
      <x:c r="F12" s="655" t="str">
        <x:v>Work locally or reconnect</x:v>
      </x:c>
      <x:c r="G12" s="655" t="str">
        <x:v>Offline does not advance Ledger Time</x:v>
      </x:c>
      <x:c r="H12" s="675" t="str">
        <x:v>Approved</x:v>
      </x:c>
    </x:row>
    <x:row r="13" ht="66" customHeight="1">
      <x:c r="A13" s="656" t="str">
        <x:v>Success</x:v>
      </x:c>
      <x:c r="B13" s="656" t="str">
        <x:v>Public state</x:v>
      </x:c>
      <x:c r="C13" s="656" t="str">
        <x:v>Check + committed receipt</x:v>
      </x:c>
      <x:c r="D13" s="656" t="str">
        <x:v>Result is durable</x:v>
      </x:c>
      <x:c r="E13" s="656" t="str">
        <x:v>SCR-02–05, 07, 11–14</x:v>
      </x:c>
      <x:c r="F13" s="656" t="str">
        <x:v>Continue or inspect causes</x:v>
      </x:c>
      <x:c r="G13" s="656" t="str">
        <x:v>Only receipt-backed changes are canon</x:v>
      </x:c>
      <x:c r="H13" s="675" t="str">
        <x:v>Approved</x:v>
      </x:c>
    </x:row>
    <x:row r="14" ht="66" customHeight="1">
      <x:c r="A14" s="655" t="str">
        <x:v>Mixed</x:v>
      </x:c>
      <x:c r="B14" s="655" t="str">
        <x:v>Public state</x:v>
      </x:c>
      <x:c r="C14" s="655" t="str">
        <x:v>Half circle + gain/cost split</x:v>
      </x:c>
      <x:c r="D14" s="655" t="str">
        <x:v>Goal and cost stay distinct</x:v>
      </x:c>
      <x:c r="E14" s="655" t="str">
        <x:v>SCR-05–06, 11</x:v>
      </x:c>
      <x:c r="F14" s="655" t="str">
        <x:v>Inspect, continue or revise</x:v>
      </x:c>
      <x:c r="G14" s="655" t="str">
        <x:v>Unchanged facts remain explicit</x:v>
      </x:c>
      <x:c r="H14" s="675" t="str">
        <x:v>Approved</x:v>
      </x:c>
    </x:row>
    <x:row r="15" ht="66" customHeight="1">
      <x:c r="A15" s="656" t="str">
        <x:v>Failure</x:v>
      </x:c>
      <x:c r="B15" s="656" t="str">
        <x:v>Public state</x:v>
      </x:c>
      <x:c r="C15" s="656" t="str">
        <x:v>Cross + cause + unchanged list</x:v>
      </x:c>
      <x:c r="D15" s="656" t="str">
        <x:v>Failure is not erasure</x:v>
      </x:c>
      <x:c r="E15" s="656" t="str">
        <x:v>SCR-05–06</x:v>
      </x:c>
      <x:c r="F15" s="656" t="str">
        <x:v>Revise intent or continue</x:v>
      </x:c>
      <x:c r="G15" s="656" t="str">
        <x:v>No hidden diagnostic exposed</x:v>
      </x:c>
      <x:c r="H15" s="675" t="str">
        <x:v>Approved</x:v>
      </x:c>
    </x:row>
    <x:row r="16" ht="66" customHeight="1">
      <x:c r="A16" s="655" t="str">
        <x:v>Refusal</x:v>
      </x:c>
      <x:c r="B16" s="655" t="str">
        <x:v>Public state</x:v>
      </x:c>
      <x:c r="C16" s="655" t="str">
        <x:v>Star + stated boundary</x:v>
      </x:c>
      <x:c r="D16" s="655" t="str">
        <x:v>Autonomous agency is preserved</x:v>
      </x:c>
      <x:c r="E16" s="655" t="str">
        <x:v>SCR-05, 08</x:v>
      </x:c>
      <x:c r="F16" s="655" t="str">
        <x:v>Revise request</x:v>
      </x:c>
      <x:c r="G16" s="655" t="str">
        <x:v>No private motive or obedience score</x:v>
      </x:c>
      <x:c r="H16" s="675" t="str">
        <x:v>Approved</x:v>
      </x:c>
    </x:row>
    <x:row r="17" ht="66" customHeight="1">
      <x:c r="A17" s="656" t="str">
        <x:v>Interruption</x:v>
      </x:c>
      <x:c r="B17" s="656" t="str">
        <x:v>Public state</x:v>
      </x:c>
      <x:c r="C17" s="656" t="str">
        <x:v>Exclamation + decision window</x:v>
      </x:c>
      <x:c r="D17" s="656" t="str">
        <x:v>Draft pauses, not disappears</x:v>
      </x:c>
      <x:c r="E17" s="656" t="str">
        <x:v>SCR-04–06, 10</x:v>
      </x:c>
      <x:c r="F17" s="656" t="str">
        <x:v>Respond or preserve intent</x:v>
      </x:c>
      <x:c r="G17" s="656" t="str">
        <x:v>Window authority remains exact</x:v>
      </x:c>
      <x:c r="H17" s="675" t="str">
        <x:v>Approved</x:v>
      </x:c>
    </x:row>
    <x:row r="18" ht="66" customHeight="1">
      <x:c r="A18" s="655" t="str">
        <x:v>Desktop reference</x:v>
      </x:c>
      <x:c r="B18" s="655" t="str">
        <x:v>Access presentation</x:v>
      </x:c>
      <x:c r="C18" s="655" t="str">
        <x:v>Persistent shell regions</x:v>
      </x:c>
      <x:c r="D18" s="655" t="str">
        <x:v>Reference density at 1440×900+</x:v>
      </x:c>
      <x:c r="E18" s="655" t="str">
        <x:v>All 14</x:v>
      </x:c>
      <x:c r="F18" s="655" t="str">
        <x:v>Complete loop</x:v>
      </x:c>
      <x:c r="G18" s="655" t="str">
        <x:v>No capability hidden by default</x:v>
      </x:c>
      <x:c r="H18" s="675" t="str">
        <x:v>Approved</x:v>
      </x:c>
    </x:row>
    <x:row r="19" ht="66" customHeight="1">
      <x:c r="A19" s="656" t="str">
        <x:v>Compact desktop</x:v>
      </x:c>
      <x:c r="B19" s="656" t="str">
        <x:v>Access presentation</x:v>
      </x:c>
      <x:c r="C19" s="656" t="str">
        <x:v>Recomposed labeled regions</x:v>
      </x:c>
      <x:c r="D19" s="656" t="str">
        <x:v>Capability parity at 1280×720</x:v>
      </x:c>
      <x:c r="E19" s="656" t="str">
        <x:v>All 14</x:v>
      </x:c>
      <x:c r="F19" s="656" t="str">
        <x:v>Complete loop</x:v>
      </x:c>
      <x:c r="G19" s="656" t="str">
        <x:v>No essential control removed</x:v>
      </x:c>
      <x:c r="H19" s="675" t="str">
        <x:v>Approved</x:v>
      </x:c>
    </x:row>
    <x:row r="20" ht="66" customHeight="1">
      <x:c r="A20" s="655" t="str">
        <x:v>High contrast</x:v>
      </x:c>
      <x:c r="B20" s="655" t="str">
        <x:v>Access presentation</x:v>
      </x:c>
      <x:c r="C20" s="655" t="str">
        <x:v>System colors + strong borders</x:v>
      </x:c>
      <x:c r="D20" s="655" t="str">
        <x:v>State remains noncolor-readable</x:v>
      </x:c>
      <x:c r="E20" s="655" t="str">
        <x:v>All 14</x:v>
      </x:c>
      <x:c r="F20" s="655" t="str">
        <x:v>Same actions</x:v>
      </x:c>
      <x:c r="G20" s="655" t="str">
        <x:v>Atmosphere may disappear</x:v>
      </x:c>
      <x:c r="H20" s="675" t="str">
        <x:v>Approved</x:v>
      </x:c>
    </x:row>
    <x:row r="21" ht="66" customHeight="1">
      <x:c r="A21" s="656" t="str">
        <x:v>Large text / 200%</x:v>
      </x:c>
      <x:c r="B21" s="656" t="str">
        <x:v>Access presentation</x:v>
      </x:c>
      <x:c r="C21" s="656" t="str">
        <x:v>Reflow + retained labels</x:v>
      </x:c>
      <x:c r="D21" s="656" t="str">
        <x:v>No horizontal page scroll at 200%</x:v>
      </x:c>
      <x:c r="E21" s="656" t="str">
        <x:v>All 14</x:v>
      </x:c>
      <x:c r="F21" s="656" t="str">
        <x:v>Same actions</x:v>
      </x:c>
      <x:c r="G21" s="656" t="str">
        <x:v>Content order remains semantic</x:v>
      </x:c>
      <x:c r="H21" s="675" t="str">
        <x:v>Approved</x:v>
      </x:c>
    </x:row>
    <x:row r="22" ht="66" customHeight="1">
      <x:c r="A22" s="655" t="str">
        <x:v>Reduced motion</x:v>
      </x:c>
      <x:c r="B22" s="655" t="str">
        <x:v>Access presentation</x:v>
      </x:c>
      <x:c r="C22" s="655" t="str">
        <x:v>Immediate final state + text</x:v>
      </x:c>
      <x:c r="D22" s="655" t="str">
        <x:v>No meaning depends on motion</x:v>
      </x:c>
      <x:c r="E22" s="655" t="str">
        <x:v>All 14</x:v>
      </x:c>
      <x:c r="F22" s="655" t="str">
        <x:v>Same actions</x:v>
      </x:c>
      <x:c r="G22" s="655" t="str">
        <x:v>Equivalent sequence retained</x:v>
      </x:c>
      <x:c r="H22" s="675" t="str">
        <x:v>Approved</x:v>
      </x:c>
    </x:row>
    <x:row r="23" ht="66" customHeight="1">
      <x:c r="A23" s="664" t="str">
        <x:v>Screen reader / alternate input</x:v>
      </x:c>
      <x:c r="B23" s="664" t="str">
        <x:v>Access presentation</x:v>
      </x:c>
      <x:c r="C23" s="664" t="str">
        <x:v>Landmarks, labels, structured choices</x:v>
      </x:c>
      <x:c r="D23" s="664" t="str">
        <x:v>Free intent and complete loop remain</x:v>
      </x:c>
      <x:c r="E23" s="664" t="str">
        <x:v>All 14</x:v>
      </x:c>
      <x:c r="F23" s="664" t="str">
        <x:v>Same actions</x:v>
      </x:c>
      <x:c r="G23" s="664" t="str">
        <x:v>Alternate input supplements free text</x:v>
      </x:c>
      <x:c r="H23" s="676" t="str">
        <x:v>Approved</x:v>
      </x:c>
    </x:row>
  </x:sheetData>
  <x:mergeCells>
    <x:mergeCell ref="A1:H1"/>
    <x:mergeCell ref="A2:H2"/>
  </x:mergeCells>
  <x:pageMargins left="0.7" right="0.7" top="0.75" bottom="0.75" header="0.3" footer="0.3"/>
  <x:tableParts count="1">
    <x:tablePart xmlns:r="http://schemas.openxmlformats.org/officeDocument/2006/relationships" r:id="Re1fc013ca4594810"/>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14" hidden="0" customWidth="1"/>
    <x:col min="2" max="2" width="35" hidden="0" customWidth="1"/>
    <x:col min="3" max="3" width="24" hidden="0" customWidth="1"/>
    <x:col min="4" max="4" width="49" hidden="0" customWidth="1"/>
    <x:col min="5" max="5" width="44" hidden="0" customWidth="1"/>
    <x:col min="6" max="6" width="40" hidden="0" customWidth="1"/>
    <x:col min="7" max="7" width="14" hidden="0" customWidth="1"/>
  </x:cols>
  <x:sheetData>
    <x:row r="1">
      <x:c r="A1" s="608" t="str">
        <x:v>UI-02 • 17 REQUIRED SCENARIO WALKTHROUGHS</x:v>
      </x:c>
      <x:c r="B1" s="608" t="str">
        <x:v>UI-02 • 17 REQUIRED SCENARIO WALKTHROUGHS</x:v>
      </x:c>
      <x:c r="C1" s="608" t="str">
        <x:v>UI-02 • 17 REQUIRED SCENARIO WALKTHROUGHS</x:v>
      </x:c>
      <x:c r="D1" s="608" t="str">
        <x:v>UI-02 • 17 REQUIRED SCENARIO WALKTHROUGHS</x:v>
      </x:c>
      <x:c r="E1" s="608" t="str">
        <x:v>UI-02 • 17 REQUIRED SCENARIO WALKTHROUGHS</x:v>
      </x:c>
      <x:c r="F1" s="608" t="str">
        <x:v>UI-02 • 17 REQUIRED SCENARIO WALKTHROUGHS</x:v>
      </x:c>
      <x:c r="G1" s="608" t="str">
        <x:v>UI-02 • 17 REQUIRED SCENARIO WALKTHROUGHS</x:v>
      </x:c>
    </x:row>
    <x:row r="2">
      <x:c r="A2" s="612" t="str">
        <x:v>Every required player outcome maps to final screen families, explicit exception branches and capability-preserving accessibility behavior</x:v>
      </x:c>
      <x:c r="B2" s="612" t="str">
        <x:v>Every required player outcome maps to final screen families, explicit exception branches and capability-preserving accessibility behavior</x:v>
      </x:c>
      <x:c r="C2" s="612" t="str">
        <x:v>Every required player outcome maps to final screen families, explicit exception branches and capability-preserving accessibility behavior</x:v>
      </x:c>
      <x:c r="D2" s="612" t="str">
        <x:v>Every required player outcome maps to final screen families, explicit exception branches and capability-preserving accessibility behavior</x:v>
      </x:c>
      <x:c r="E2" s="612" t="str">
        <x:v>Every required player outcome maps to final screen families, explicit exception branches and capability-preserving accessibility behavior</x:v>
      </x:c>
      <x:c r="F2" s="612" t="str">
        <x:v>Every required player outcome maps to final screen families, explicit exception branches and capability-preserving accessibility behavior</x:v>
      </x:c>
      <x:c r="G2" s="612" t="str">
        <x:v>Every required player outcome maps to final screen families, explicit exception branches and capability-preserving accessibility behavior</x:v>
      </x:c>
    </x:row>
    <x:row r="4">
      <x:c r="A4" s="652" t="str">
        <x:v>Scenario</x:v>
      </x:c>
      <x:c r="B4" s="653" t="str">
        <x:v>Player outcome</x:v>
      </x:c>
      <x:c r="C4" s="653" t="str">
        <x:v>Covered screens</x:v>
      </x:c>
      <x:c r="D4" s="653" t="str">
        <x:v>Primary interaction proof</x:v>
      </x:c>
      <x:c r="E4" s="653" t="str">
        <x:v>Exception / recovery proof</x:v>
      </x:c>
      <x:c r="F4" s="653" t="str">
        <x:v>Accessibility proof</x:v>
      </x:c>
      <x:c r="G4" s="654" t="str">
        <x:v>Status</x:v>
      </x:c>
    </x:row>
    <x:row r="5" ht="74" customHeight="1">
      <x:c r="A5" s="632" t="str">
        <x:v>SCN-01</x:v>
      </x:c>
      <x:c r="B5" s="632" t="str">
        <x:v>Meaningful choice within 90 seconds</x:v>
      </x:c>
      <x:c r="C5" s="632" t="str">
        <x:v>SCR-01, SCR-02, SCR-04</x:v>
      </x:c>
      <x:c r="D5" s="632" t="str">
        <x:v>Campaign resume, onboarding and Stage expose a meaningful choice before deep rules</x:v>
      </x:c>
      <x:c r="E5" s="632" t="str">
        <x:v>Mapped public outcome, stale/conflict/recovery or unavailable branch remains distinct</x:v>
      </x:c>
      <x:c r="F5" s="632" t="str">
        <x:v>Keyboard order + live region + compact parity documented</x:v>
      </x:c>
      <x:c r="G5" s="674" t="str">
        <x:v>Approved</x:v>
      </x:c>
    </x:row>
    <x:row r="6" ht="74" customHeight="1">
      <x:c r="A6" s="655" t="str">
        <x:v>SCN-02</x:v>
      </x:c>
      <x:c r="B6" s="655" t="str">
        <x:v>Expert custom build with legal BP audit</x:v>
      </x:c>
      <x:c r="C6" s="655" t="str">
        <x:v>SCR-03</x:v>
      </x:c>
      <x:c r="D6" s="655" t="str">
        <x:v>Expert builder and BP ledger expose every source, spend and validation result</x:v>
      </x:c>
      <x:c r="E6" s="655" t="str">
        <x:v>Mapped public outcome, stale/conflict/recovery or unavailable branch remains distinct</x:v>
      </x:c>
      <x:c r="F6" s="655" t="str">
        <x:v>Keyboard order + live region + compact parity documented</x:v>
      </x:c>
      <x:c r="G6" s="675" t="str">
        <x:v>Approved</x:v>
      </x:c>
    </x:row>
    <x:row r="7" ht="74" customHeight="1">
      <x:c r="A7" s="656" t="str">
        <x:v>SCN-03</x:v>
      </x:c>
      <x:c r="B7" s="656" t="str">
        <x:v>Ordinary survivor without Awakening</x:v>
      </x:c>
      <x:c r="C7" s="656" t="str">
        <x:v>SCR-03, SCR-07</x:v>
      </x:c>
      <x:c r="D7" s="656" t="str">
        <x:v>Ordinary survivor is selectable, legal and complete without Awakening</x:v>
      </x:c>
      <x:c r="E7" s="656" t="str">
        <x:v>Mapped public outcome, stale/conflict/recovery or unavailable branch remains distinct</x:v>
      </x:c>
      <x:c r="F7" s="656" t="str">
        <x:v>Keyboard order + live region + compact parity documented</x:v>
      </x:c>
      <x:c r="G7" s="675" t="str">
        <x:v>Approved</x:v>
      </x:c>
    </x:row>
    <x:row r="8" ht="74" customHeight="1">
      <x:c r="A8" s="655" t="str">
        <x:v>SCN-04</x:v>
      </x:c>
      <x:c r="B8" s="655" t="str">
        <x:v>Absurd but possible action</x:v>
      </x:c>
      <x:c r="C8" s="655" t="str">
        <x:v>SCR-04, SCR-05</x:v>
      </x:c>
      <x:c r="D8" s="655" t="str">
        <x:v>Free Goal and Method accept absurd intent; interpretation and forecast remain correctable</x:v>
      </x:c>
      <x:c r="E8" s="655" t="str">
        <x:v>Mapped public outcome, stale/conflict/recovery or unavailable branch remains distinct</x:v>
      </x:c>
      <x:c r="F8" s="655" t="str">
        <x:v>Keyboard order + live region + compact parity documented</x:v>
      </x:c>
      <x:c r="G8" s="675" t="str">
        <x:v>Approved</x:v>
      </x:c>
    </x:row>
    <x:row r="9" ht="74" customHeight="1">
      <x:c r="A9" s="656" t="str">
        <x:v>SCN-05</x:v>
      </x:c>
      <x:c r="B9" s="656" t="str">
        <x:v>Impossible action revised</x:v>
      </x:c>
      <x:c r="C9" s="656" t="str">
        <x:v>SCR-05</x:v>
      </x:c>
      <x:c r="D9" s="656" t="str">
        <x:v>Impossible action returns a named obstacle and revision path</x:v>
      </x:c>
      <x:c r="E9" s="656" t="str">
        <x:v>Mapped public outcome, stale/conflict/recovery or unavailable branch remains distinct</x:v>
      </x:c>
      <x:c r="F9" s="656" t="str">
        <x:v>Keyboard order + live region + compact parity documented</x:v>
      </x:c>
      <x:c r="G9" s="675" t="str">
        <x:v>Approved</x:v>
      </x:c>
    </x:row>
    <x:row r="10" ht="74" customHeight="1">
      <x:c r="A10" s="655" t="str">
        <x:v>SCN-06</x:v>
      </x:c>
      <x:c r="B10" s="655" t="str">
        <x:v>Overloaded injuries, survival and legal exposure</x:v>
      </x:c>
      <x:c r="C10" s="655" t="str">
        <x:v>SCR-06, SCR-07, SCR-09, SCR-11</x:v>
      </x:c>
      <x:c r="D10" s="655" t="str">
        <x:v>Stage, condition, holdings and law show concurrent pressure without collapsing distinctions</x:v>
      </x:c>
      <x:c r="E10" s="655" t="str">
        <x:v>Mapped public outcome, stale/conflict/recovery or unavailable branch remains distinct</x:v>
      </x:c>
      <x:c r="F10" s="655" t="str">
        <x:v>Keyboard order + live region + compact parity documented</x:v>
      </x:c>
      <x:c r="G10" s="675" t="str">
        <x:v>Approved</x:v>
      </x:c>
    </x:row>
    <x:row r="11" ht="74" customHeight="1">
      <x:c r="A11" s="656" t="str">
        <x:v>SCN-07</x:v>
      </x:c>
      <x:c r="B11" s="656" t="str">
        <x:v>Companion refusal</x:v>
      </x:c>
      <x:c r="C11" s="656" t="str">
        <x:v>SCR-08</x:v>
      </x:c>
      <x:c r="D11" s="656" t="str">
        <x:v>Company request returns actor refusal with stated boundary and revision path</x:v>
      </x:c>
      <x:c r="E11" s="656" t="str">
        <x:v>Mapped public outcome, stale/conflict/recovery or unavailable branch remains distinct</x:v>
      </x:c>
      <x:c r="F11" s="656" t="str">
        <x:v>Keyboard order + live region + compact parity documented</x:v>
      </x:c>
      <x:c r="G11" s="675" t="str">
        <x:v>Approved</x:v>
      </x:c>
    </x:row>
    <x:row r="12" ht="74" customHeight="1">
      <x:c r="A12" s="655" t="str">
        <x:v>SCN-08</x:v>
      </x:c>
      <x:c r="B12" s="655" t="str">
        <x:v>Sapient Relic negotiates or rejects</x:v>
      </x:c>
      <x:c r="C12" s="655" t="str">
        <x:v>SCR-08</x:v>
      </x:c>
      <x:c r="D12" s="655" t="str">
        <x:v>Relic terms separate Claim, Attunement and Bond; negotiation and rejection remain possible</x:v>
      </x:c>
      <x:c r="E12" s="655" t="str">
        <x:v>Mapped public outcome, stale/conflict/recovery or unavailable branch remains distinct</x:v>
      </x:c>
      <x:c r="F12" s="655" t="str">
        <x:v>Keyboard order + live region + compact parity documented</x:v>
      </x:c>
      <x:c r="G12" s="675" t="str">
        <x:v>Approved</x:v>
      </x:c>
    </x:row>
    <x:row r="13" ht="74" customHeight="1">
      <x:c r="A13" s="656" t="str">
        <x:v>SCN-09</x:v>
      </x:c>
      <x:c r="B13" s="656" t="str">
        <x:v>Lost player with exact coordinates withheld</x:v>
      </x:c>
      <x:c r="C13" s="656" t="str">
        <x:v>SCR-04, SCR-10</x:v>
      </x:c>
      <x:c r="D13" s="656" t="str">
        <x:v>Atlas shows believed position and confidence while exact coordinates remain omitted</x:v>
      </x:c>
      <x:c r="E13" s="656" t="str">
        <x:v>Mapped public outcome, stale/conflict/recovery or unavailable branch remains distinct</x:v>
      </x:c>
      <x:c r="F13" s="656" t="str">
        <x:v>Keyboard order + live region + compact parity documented</x:v>
      </x:c>
      <x:c r="G13" s="675" t="str">
        <x:v>Approved</x:v>
      </x:c>
    </x:row>
    <x:row r="14" ht="74" customHeight="1">
      <x:c r="A14" s="655" t="str">
        <x:v>SCN-10</x:v>
      </x:c>
      <x:c r="B14" s="655" t="str">
        <x:v>Investigation without hidden canon</x:v>
      </x:c>
      <x:c r="C14" s="655" t="str">
        <x:v>SCR-11</x:v>
      </x:c>
      <x:c r="D14" s="655" t="str">
        <x:v>Evidence claims preserve source, custody, confidence and contradiction without hidden canon</x:v>
      </x:c>
      <x:c r="E14" s="655" t="str">
        <x:v>Mapped public outcome, stale/conflict/recovery or unavailable branch remains distinct</x:v>
      </x:c>
      <x:c r="F14" s="655" t="str">
        <x:v>Keyboard order + live region + compact parity documented</x:v>
      </x:c>
      <x:c r="G14" s="675" t="str">
        <x:v>Approved</x:v>
      </x:c>
    </x:row>
    <x:row r="15" ht="74" customHeight="1">
      <x:c r="A15" s="656" t="str">
        <x:v>SCN-11</x:v>
      </x:c>
      <x:c r="B15" s="656" t="str">
        <x:v>Destroyed site and killed leader persist</x:v>
      </x:c>
      <x:c r="C15" s="656" t="str">
        <x:v>SCR-10, SCR-11, SCR-12</x:v>
      </x:c>
      <x:c r="D15" s="656" t="str">
        <x:v>World, Front and Chronicle records retain destruction and leadership consequences</x:v>
      </x:c>
      <x:c r="E15" s="656" t="str">
        <x:v>Mapped public outcome, stale/conflict/recovery or unavailable branch remains distinct</x:v>
      </x:c>
      <x:c r="F15" s="656" t="str">
        <x:v>Keyboard order + live region + compact parity documented</x:v>
      </x:c>
      <x:c r="G15" s="675" t="str">
        <x:v>Approved</x:v>
      </x:c>
    </x:row>
    <x:row r="16" ht="74" customHeight="1">
      <x:c r="A16" s="655" t="str">
        <x:v>SCN-12</x:v>
      </x:c>
      <x:c r="B16" s="655" t="str">
        <x:v>Death continuation through afterlife or succession</x:v>
      </x:c>
      <x:c r="C16" s="655" t="str">
        <x:v>SCR-06, SCR-07, SCR-12</x:v>
      </x:c>
      <x:c r="D16" s="655" t="str">
        <x:v>Defeat receipt precedes afterlife or succession continuation</x:v>
      </x:c>
      <x:c r="E16" s="655" t="str">
        <x:v>Mapped public outcome, stale/conflict/recovery or unavailable branch remains distinct</x:v>
      </x:c>
      <x:c r="F16" s="655" t="str">
        <x:v>Keyboard order + live region + compact parity documented</x:v>
      </x:c>
      <x:c r="G16" s="675" t="str">
        <x:v>Approved</x:v>
      </x:c>
    </x:row>
    <x:row r="17" ht="74" customHeight="1">
      <x:c r="A17" s="656" t="str">
        <x:v>SCN-13</x:v>
      </x:c>
      <x:c r="B17" s="656" t="str">
        <x:v>Fronts continue beyond BREAKWATER</x:v>
      </x:c>
      <x:c r="C17" s="656" t="str">
        <x:v>SCR-01, SCR-10, SCR-11, SCR-12</x:v>
      </x:c>
      <x:c r="D17" s="656" t="str">
        <x:v>World and Chronicle show offscreen Front continuation beyond BREAKWATER</x:v>
      </x:c>
      <x:c r="E17" s="656" t="str">
        <x:v>Mapped public outcome, stale/conflict/recovery or unavailable branch remains distinct</x:v>
      </x:c>
      <x:c r="F17" s="656" t="str">
        <x:v>Keyboard order + live region + compact parity documented</x:v>
      </x:c>
      <x:c r="G17" s="675" t="str">
        <x:v>Approved</x:v>
      </x:c>
    </x:row>
    <x:row r="18" ht="74" customHeight="1">
      <x:c r="A18" s="655" t="str">
        <x:v>SCN-14</x:v>
      </x:c>
      <x:c r="B18" s="655" t="str">
        <x:v>Comic production remains nonblocking</x:v>
      </x:c>
      <x:c r="C18" s="655" t="str">
        <x:v>SCR-12, SCR-13</x:v>
      </x:c>
      <x:c r="D18" s="655" t="str">
        <x:v>Comic queue and recovery prove gameplay remains available during provider work/failure</x:v>
      </x:c>
      <x:c r="E18" s="655" t="str">
        <x:v>Mapped public outcome, stale/conflict/recovery or unavailable branch remains distinct</x:v>
      </x:c>
      <x:c r="F18" s="655" t="str">
        <x:v>Keyboard order + live region + compact parity documented</x:v>
      </x:c>
      <x:c r="G18" s="675" t="str">
        <x:v>Approved</x:v>
      </x:c>
    </x:row>
    <x:row r="19" ht="74" customHeight="1">
      <x:c r="A19" s="656" t="str">
        <x:v>SCN-15</x:v>
      </x:c>
      <x:c r="B19" s="656" t="str">
        <x:v>Issue #0 may be skipped</x:v>
      </x:c>
      <x:c r="C19" s="656" t="str">
        <x:v>SCR-02</x:v>
      </x:c>
      <x:c r="D19" s="656" t="str">
        <x:v>Issue #0 has a visible Skip path with no capability penalty</x:v>
      </x:c>
      <x:c r="E19" s="656" t="str">
        <x:v>Mapped public outcome, stale/conflict/recovery or unavailable branch remains distinct</x:v>
      </x:c>
      <x:c r="F19" s="656" t="str">
        <x:v>Keyboard order + live region + compact parity documented</x:v>
      </x:c>
      <x:c r="G19" s="675" t="str">
        <x:v>Approved</x:v>
      </x:c>
    </x:row>
    <x:row r="20" ht="74" customHeight="1">
      <x:c r="A20" s="655" t="str">
        <x:v>SCN-16</x:v>
      </x:c>
      <x:c r="B20" s="655" t="str">
        <x:v>Screen reader and reduced input complete the loop</x:v>
      </x:c>
      <x:c r="C20" s="655" t="str">
        <x:v>SCR-02, SCR-03, SCR-04, SCR-05, SCR-06, SCR-08, SCR-09, SCR-10, SCR-11, SCR-12, SCR-13, SCR-14</x:v>
      </x:c>
      <x:c r="D20" s="655" t="str">
        <x:v>Landmarks, keyboard order, live regions, alternate input and reduced motion complete the loop</x:v>
      </x:c>
      <x:c r="E20" s="655" t="str">
        <x:v>Mapped public outcome, stale/conflict/recovery or unavailable branch remains distinct</x:v>
      </x:c>
      <x:c r="F20" s="655" t="str">
        <x:v>Keyboard order + live region + compact parity documented</x:v>
      </x:c>
      <x:c r="G20" s="675" t="str">
        <x:v>Approved</x:v>
      </x:c>
    </x:row>
    <x:row r="21" ht="74" customHeight="1">
      <x:c r="A21" s="664" t="str">
        <x:v>SCN-17</x:v>
      </x:c>
      <x:c r="B21" s="664" t="str">
        <x:v>Compact and constrained capability parity</x:v>
      </x:c>
      <x:c r="C21" s="664" t="str">
        <x:v>SCR-01, SCR-02, SCR-03, SCR-04, SCR-05, SCR-06, SCR-07, SCR-08, SCR-09, SCR-10, SCR-11, SCR-12, SCR-13, SCR-14</x:v>
      </x:c>
      <x:c r="D21" s="664" t="str">
        <x:v>Compact recomposition retains every core capability and recovery action</x:v>
      </x:c>
      <x:c r="E21" s="664" t="str">
        <x:v>Mapped public outcome, stale/conflict/recovery or unavailable branch remains distinct</x:v>
      </x:c>
      <x:c r="F21" s="664" t="str">
        <x:v>Keyboard order + live region + compact parity documented</x:v>
      </x:c>
      <x:c r="G21" s="676" t="str">
        <x:v>Approved</x:v>
      </x:c>
    </x:row>
  </x:sheetData>
  <x:mergeCells>
    <x:mergeCell ref="A1:G1"/>
    <x:mergeCell ref="A2:G2"/>
  </x:mergeCells>
  <x:pageMargins left="0.7" right="0.7" top="0.75" bottom="0.75" header="0.3" footer="0.3"/>
  <x:tableParts count="1">
    <x:tablePart xmlns:r="http://schemas.openxmlformats.org/officeDocument/2006/relationships" r:id="R37d74d7773a1471c"/>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2" hidden="0" customWidth="1"/>
    <x:col min="2" max="2" width="49" hidden="0" customWidth="1"/>
    <x:col min="3" max="3" width="5" hidden="0" customWidth="1"/>
    <x:col min="4" max="4" width="27" hidden="0" customWidth="1"/>
    <x:col min="5" max="5" width="14" hidden="0" customWidth="1"/>
    <x:col min="6" max="6" width="5" hidden="0" customWidth="1"/>
    <x:col min="7" max="7" width="30" hidden="0" customWidth="1"/>
    <x:col min="8" max="8" width="30" hidden="0" customWidth="1"/>
  </x:cols>
  <x:sheetData>
    <x:row r="1" ht="30" customHeight="1">
      <x:c r="A1" s="679" t="str">
        <x:v>MYTHIC SUPERHERO RPG • UI-03 ASSET MANIFEST</x:v>
      </x:c>
      <x:c r="B1" s="679" t="str">
        <x:v>MYTHIC SUPERHERO RPG • UI-03 ASSET MANIFEST</x:v>
      </x:c>
      <x:c r="C1" s="679" t="str">
        <x:v>MYTHIC SUPERHERO RPG • UI-03 ASSET MANIFEST</x:v>
      </x:c>
      <x:c r="D1" s="679" t="str">
        <x:v>MYTHIC SUPERHERO RPG • UI-03 ASSET MANIFEST</x:v>
      </x:c>
      <x:c r="E1" s="679" t="str">
        <x:v>MYTHIC SUPERHERO RPG • UI-03 ASSET MANIFEST</x:v>
      </x:c>
      <x:c r="F1" s="679" t="str">
        <x:v>MYTHIC SUPERHERO RPG • UI-03 ASSET MANIFEST</x:v>
      </x:c>
      <x:c r="G1" s="679" t="str">
        <x:v>MYTHIC SUPERHERO RPG • UI-03 ASSET MANIFEST</x:v>
      </x:c>
      <x:c r="H1" s="679" t="str">
        <x:v>MYTHIC SUPERHERO RPG • UI-03 ASSET MANIFEST</x:v>
      </x:c>
    </x:row>
    <x:row r="2" ht="34" customHeight="1">
      <x:c r="A2" s="683" t="str">
        <x:v>Figma-free representational-art pipeline + code-native SVG icons • every core capability works without raster media • production gate CLOSED</x:v>
      </x:c>
      <x:c r="B2" s="683" t="str">
        <x:v>Figma-free representational-art pipeline + code-native SVG icons • every core capability works without raster media • production gate CLOSED</x:v>
      </x:c>
      <x:c r="C2" s="683" t="str">
        <x:v>Figma-free representational-art pipeline + code-native SVG icons • every core capability works without raster media • production gate CLOSED</x:v>
      </x:c>
      <x:c r="D2" s="683" t="str">
        <x:v>Figma-free representational-art pipeline + code-native SVG icons • every core capability works without raster media • production gate CLOSED</x:v>
      </x:c>
      <x:c r="E2" s="683" t="str">
        <x:v>Figma-free representational-art pipeline + code-native SVG icons • every core capability works without raster media • production gate CLOSED</x:v>
      </x:c>
      <x:c r="F2" s="683" t="str">
        <x:v>Figma-free representational-art pipeline + code-native SVG icons • every core capability works without raster media • production gate CLOSED</x:v>
      </x:c>
      <x:c r="G2" s="683" t="str">
        <x:v>Figma-free representational-art pipeline + code-native SVG icons • every core capability works without raster media • production gate CLOSED</x:v>
      </x:c>
      <x:c r="H2" s="683" t="str">
        <x:v>Figma-free representational-art pipeline + code-native SVG icons • every core capability works without raster media • production gate CLOSED</x:v>
      </x:c>
    </x:row>
    <x:row r="3" ht="24" customHeight="1"/>
    <x:row r="4" ht="36" customHeight="1">
      <x:c r="A4" s="686" t="str">
        <x:v>UI-01 dependency</x:v>
      </x:c>
      <x:c r="B4" s="689" t="str">
        <x:v>Approved and locked · 2026-08-23</x:v>
      </x:c>
      <x:c r="D4" s="756" t="str">
        <x:v>UI-03 APPROVED EVIDENCE</x:v>
      </x:c>
      <x:c r="E4" s="756"/>
      <x:c r="F4" s="756"/>
      <x:c r="G4" s="756"/>
      <x:c r="H4" s="756"/>
    </x:row>
    <x:row r="5" ht="36" customHeight="1">
      <x:c r="A5" s="686" t="str">
        <x:v>UI-02 dependency</x:v>
      </x:c>
      <x:c r="B5" s="689" t="str">
        <x:v>Approved and locked · 2026-08-23</x:v>
      </x:c>
      <x:c r="D5" s="689" t="str">
        <x:v>Asset slots</x:v>
      </x:c>
      <x:c r="E5" s="693" t="n">
        <x:f>COUNTA('UI03 Asset Register'!A5:A64)</x:f>
        <x:v>60</x:v>
      </x:c>
      <x:c r="G5" s="695" t="str">
        <x:v>NO-ART CAPABILITY PARITY</x:v>
      </x:c>
      <x:c r="H5" s="695"/>
    </x:row>
    <x:row r="6" ht="36" customHeight="1">
      <x:c r="A6" s="686" t="str">
        <x:v>UI-03 status</x:v>
      </x:c>
      <x:c r="B6" s="689" t="str">
        <x:v>Approved and locked · 2026-08-23</x:v>
      </x:c>
      <x:c r="D6" s="689" t="str">
        <x:v>Controlled references</x:v>
      </x:c>
      <x:c r="E6" s="693" t="n">
        <x:f>COUNTA('UI03 Reference Assets'!A5:A9)</x:f>
        <x:v>5</x:v>
      </x:c>
      <x:c r="G6" s="696" t="str">
        <x:v>Every one of the 14 UI-02 screens names an explicit semantic fallback. Maps, charts, focus, state cues, knowledge classes, receipts, media status and navigation remain code-native. Character portraits stay blocked until appearance invariants exist; changed art waits for an event/version.</x:v>
      </x:c>
      <x:c r="H6" s="696"/>
    </x:row>
    <x:row r="7" ht="36" customHeight="1">
      <x:c r="A7" s="686" t="str">
        <x:v>Primary target</x:v>
      </x:c>
      <x:c r="B7" s="689" t="str">
        <x:v>Desktop browser · responsive capability parity</x:v>
      </x:c>
      <x:c r="D7" s="689" t="str">
        <x:v>Code-native icons</x:v>
      </x:c>
      <x:c r="E7" s="693" t="n">
        <x:f>COUNTA('UI03 Icon Catalog'!A5:A53)</x:f>
        <x:v>49</x:v>
      </x:c>
      <x:c r="G7" s="696"/>
      <x:c r="H7" s="696"/>
    </x:row>
    <x:row r="8" ht="36" customHeight="1">
      <x:c r="A8" s="686" t="str">
        <x:v>Visual workflow</x:v>
      </x:c>
      <x:c r="B8" s="689" t="str">
        <x:v>Representational art outside Figma; semantic geometry in HTML/CSS/SVG</x:v>
      </x:c>
      <x:c r="D8" s="689" t="str">
        <x:v>Screen placements</x:v>
      </x:c>
      <x:c r="E8" s="693" t="n">
        <x:f>COUNTA('UI03 Screen Placement'!A5:A18)</x:f>
        <x:v>14</x:v>
      </x:c>
      <x:c r="G8" s="696"/>
      <x:c r="H8" s="696"/>
    </x:row>
    <x:row r="9" ht="36" customHeight="1">
      <x:c r="A9" s="686" t="str">
        <x:v>Canon rule</x:v>
      </x:c>
      <x:c r="B9" s="689" t="str">
        <x:v>Assets reference approved snapshots/versions; images never become truth by implication</x:v>
      </x:c>
      <x:c r="D9" s="689" t="str">
        <x:v>Generation brief families</x:v>
      </x:c>
      <x:c r="E9" s="693" t="n">
        <x:v>6</x:v>
      </x:c>
      <x:c r="G9" s="696"/>
      <x:c r="H9" s="696"/>
    </x:row>
    <x:row r="10" ht="36" customHeight="1">
      <x:c r="A10" s="686" t="str">
        <x:v>Production authorization</x:v>
      </x:c>
      <x:c r="B10" s="689" t="str">
        <x:v>CLOSED</x:v>
      </x:c>
      <x:c r="D10" s="689" t="str">
        <x:v>Unresolved UX decisions</x:v>
      </x:c>
      <x:c r="E10" s="693" t="n">
        <x:v>0</x:v>
      </x:c>
      <x:c r="G10" s="696"/>
      <x:c r="H10" s="696"/>
    </x:row>
    <x:row r="11" ht="24" customHeight="1"/>
    <x:row r="12" ht="24" customHeight="1">
      <x:c r="A12" s="698" t="str">
        <x:v>UI-03 NONNEGOTIABLES</x:v>
      </x:c>
      <x:c r="B12" s="698"/>
      <x:c r="C12" s="698"/>
      <x:c r="D12" s="698"/>
      <x:c r="E12" s="698"/>
      <x:c r="F12" s="698"/>
      <x:c r="G12" s="698"/>
      <x:c r="H12" s="698"/>
    </x:row>
    <x:row r="13" ht="24" customHeight="1">
      <x:c r="A13" s="704" t="str">
        <x:v>1</x:v>
      </x:c>
      <x:c r="B13" s="705" t="str">
        <x:v>Art supports truth</x:v>
      </x:c>
      <x:c r="C13" s="703" t="str">
        <x:v>Every meaningful asset is bound to a delivered projection, entity/event version or Source Lock; it never invents canon.</x:v>
      </x:c>
      <x:c r="D13" s="703"/>
      <x:c r="E13" s="703"/>
      <x:c r="F13" s="703"/>
      <x:c r="G13" s="703"/>
      <x:c r="H13" s="703"/>
    </x:row>
    <x:row r="14" ht="24" customHeight="1">
      <x:c r="A14" s="709" t="str">
        <x:v>2</x:v>
      </x:c>
      <x:c r="B14" s="710" t="str">
        <x:v>No baked live text</x:v>
      </x:c>
      <x:c r="C14" s="708" t="str">
        <x:v>Dialogue, labels, receipts, exact values, maps and changeable production status remain semantic code or accessible lettering layers.</x:v>
      </x:c>
      <x:c r="D14" s="708"/>
      <x:c r="E14" s="708"/>
      <x:c r="F14" s="708"/>
      <x:c r="G14" s="708"/>
      <x:c r="H14" s="708"/>
    </x:row>
    <x:row r="15" ht="24" customHeight="1">
      <x:c r="A15" s="704" t="str">
        <x:v>3</x:v>
      </x:c>
      <x:c r="B15" s="705" t="str">
        <x:v>Knowledge ceiling</x:v>
      </x:c>
      <x:c r="C15" s="703" t="str">
        <x:v>Images omit hidden entities, motives, routes, exact lost coordinates, secret meters and protected media audit data.</x:v>
      </x:c>
      <x:c r="D15" s="703"/>
      <x:c r="E15" s="703"/>
      <x:c r="F15" s="703"/>
      <x:c r="G15" s="703"/>
      <x:c r="H15" s="703"/>
    </x:row>
    <x:row r="16" ht="24" customHeight="1">
      <x:c r="A16" s="709" t="str">
        <x:v>4</x:v>
      </x:c>
      <x:c r="B16" s="710" t="str">
        <x:v>Immutable lineage</x:v>
      </x:c>
      <x:c r="C16" s="708" t="str">
        <x:v>Canonical and published assets are never overwritten; replacements create new versions with predecessor lineage.</x:v>
      </x:c>
      <x:c r="D16" s="708"/>
      <x:c r="E16" s="708"/>
      <x:c r="F16" s="708"/>
      <x:c r="G16" s="708"/>
      <x:c r="H16" s="708"/>
    </x:row>
    <x:row r="17" ht="24" customHeight="1">
      <x:c r="A17" s="704" t="str">
        <x:v>5</x:v>
      </x:c>
      <x:c r="B17" s="705" t="str">
        <x:v>Fallback parity</x:v>
      </x:c>
      <x:c r="C17" s="703" t="str">
        <x:v>Missing, blocked, rejected, slow or user-suppressed media never removes information, legal action or recovery.</x:v>
      </x:c>
      <x:c r="D17" s="703"/>
      <x:c r="E17" s="703"/>
      <x:c r="F17" s="703"/>
      <x:c r="G17" s="703"/>
      <x:c r="H17" s="703"/>
    </x:row>
    <x:row r="18" ht="24" customHeight="1">
      <x:c r="A18" s="709" t="str">
        <x:v>6</x:v>
      </x:c>
      <x:c r="B18" s="710" t="str">
        <x:v>Figma-free delivery</x:v>
      </x:c>
      <x:c r="C18" s="708" t="str">
        <x:v>Representational art is generated/commissioned outside Figma; functional geometry is HTML/CSS/SVG.</x:v>
      </x:c>
      <x:c r="D18" s="708"/>
      <x:c r="E18" s="708"/>
      <x:c r="F18" s="708"/>
      <x:c r="G18" s="708"/>
      <x:c r="H18" s="708"/>
    </x:row>
    <x:row r="19" ht="24" customHeight="1"/>
    <x:row r="20" ht="24" customHeight="1">
      <x:c r="A20" s="712" t="str">
        <x:v>UI-03 APPROVED BOUNDARY</x:v>
      </x:c>
      <x:c r="B20" s="712"/>
      <x:c r="C20" s="712"/>
      <x:c r="D20" s="712"/>
      <x:c r="E20" s="712"/>
      <x:c r="F20" s="712"/>
      <x:c r="G20" s="712"/>
      <x:c r="H20" s="712"/>
    </x:row>
    <x:row r="21" ht="30" customHeight="1">
      <x:c r="A21" s="716" t="str">
        <x:v>Product-owner approval on 2026-08-23 locked the 60-slot taxonomy, five reference dispositions, 49-symbol icon sprite, all 14 placement policies, generation prerequisites, canon/rights/provenance boundaries, responsive delivery, semantic fallbacks and production waves. It authorizes UI-04 architecture work. It does not clear planned or blocked art for shipping and does not authorize production construction, providers, live engine integration, comic publication, deployment, public release or the clean-session Codex run.</x:v>
      </x:c>
      <x:c r="B21" s="716"/>
      <x:c r="C21" s="716"/>
      <x:c r="D21" s="716"/>
      <x:c r="E21" s="716"/>
      <x:c r="F21" s="716"/>
      <x:c r="G21" s="716"/>
      <x:c r="H21" s="716"/>
    </x:row>
    <x:row r="22" ht="30" customHeight="1">
      <x:c r="A22" s="716"/>
      <x:c r="B22" s="716"/>
      <x:c r="C22" s="716"/>
      <x:c r="D22" s="716"/>
      <x:c r="E22" s="716"/>
      <x:c r="F22" s="716"/>
      <x:c r="G22" s="716"/>
      <x:c r="H22" s="716"/>
    </x:row>
    <x:row r="23" ht="30" customHeight="1">
      <x:c r="A23" s="716"/>
      <x:c r="B23" s="716"/>
      <x:c r="C23" s="716"/>
      <x:c r="D23" s="716"/>
      <x:c r="E23" s="716"/>
      <x:c r="F23" s="716"/>
      <x:c r="G23" s="716"/>
      <x:c r="H23" s="716"/>
    </x:row>
  </x:sheetData>
  <x:mergeCells>
    <x:mergeCell ref="A1:H1"/>
    <x:mergeCell ref="A2:H2"/>
    <x:mergeCell ref="D4:H4"/>
    <x:mergeCell ref="G5:H5"/>
    <x:mergeCell ref="G6:H10"/>
    <x:mergeCell ref="A12:H12"/>
    <x:mergeCell ref="C13:H13"/>
    <x:mergeCell ref="C14:H14"/>
    <x:mergeCell ref="C15:H15"/>
    <x:mergeCell ref="C16:H16"/>
    <x:mergeCell ref="C17:H17"/>
    <x:mergeCell ref="C18:H18"/>
    <x:mergeCell ref="A20:H20"/>
    <x:mergeCell ref="A21:H23"/>
  </x:mergeCell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defaultRowHeight="15"/>
  <x:cols>
    <x:col min="1" max="1" width="15" hidden="0" customWidth="1"/>
    <x:col min="2" max="2" width="32" hidden="0" customWidth="1"/>
    <x:col min="3" max="3" width="17" hidden="0" customWidth="1"/>
    <x:col min="4" max="4" width="20" hidden="0" customWidth="1"/>
    <x:col min="5" max="5" width="25" hidden="0" customWidth="1"/>
    <x:col min="6" max="6" width="25" hidden="0" customWidth="1"/>
    <x:col min="7" max="7" width="35" hidden="0" customWidth="1"/>
    <x:col min="8" max="8" width="35" hidden="0" customWidth="1"/>
    <x:col min="9" max="9" width="14" hidden="0" customWidth="1"/>
    <x:col min="10" max="10" width="43" hidden="0" customWidth="1"/>
    <x:col min="11" max="11" width="34" hidden="0" customWidth="1"/>
    <x:col min="12" max="12" width="31" hidden="0" customWidth="1"/>
  </x:cols>
  <x:sheetData>
    <x:row r="1">
      <x:c r="A1" s="679" t="str">
        <x:v>UI-03 • 60 IMAGE / ILLUSTRATION / FALLBACK ASSET SLOTS</x:v>
      </x:c>
      <x:c r="B1" s="679" t="str">
        <x:v>UI-03 • 60 IMAGE / ILLUSTRATION / FALLBACK ASSET SLOTS</x:v>
      </x:c>
      <x:c r="C1" s="679" t="str">
        <x:v>UI-03 • 60 IMAGE / ILLUSTRATION / FALLBACK ASSET SLOTS</x:v>
      </x:c>
      <x:c r="D1" s="679" t="str">
        <x:v>UI-03 • 60 IMAGE / ILLUSTRATION / FALLBACK ASSET SLOTS</x:v>
      </x:c>
      <x:c r="E1" s="679" t="str">
        <x:v>UI-03 • 60 IMAGE / ILLUSTRATION / FALLBACK ASSET SLOTS</x:v>
      </x:c>
      <x:c r="F1" s="679" t="str">
        <x:v>UI-03 • 60 IMAGE / ILLUSTRATION / FALLBACK ASSET SLOTS</x:v>
      </x:c>
      <x:c r="G1" s="679" t="str">
        <x:v>UI-03 • 60 IMAGE / ILLUSTRATION / FALLBACK ASSET SLOTS</x:v>
      </x:c>
      <x:c r="H1" s="679" t="str">
        <x:v>UI-03 • 60 IMAGE / ILLUSTRATION / FALLBACK ASSET SLOTS</x:v>
      </x:c>
      <x:c r="I1" s="679" t="str">
        <x:v>UI-03 • 60 IMAGE / ILLUSTRATION / FALLBACK ASSET SLOTS</x:v>
      </x:c>
      <x:c r="J1" s="679" t="str">
        <x:v>UI-03 • 60 IMAGE / ILLUSTRATION / FALLBACK ASSET SLOTS</x:v>
      </x:c>
      <x:c r="K1" s="679" t="str">
        <x:v>UI-03 • 60 IMAGE / ILLUSTRATION / FALLBACK ASSET SLOTS</x:v>
      </x:c>
      <x:c r="L1" s="679" t="str">
        <x:v>UI-03 • 60 IMAGE / ILLUSTRATION / FALLBACK ASSET SLOTS</x:v>
      </x:c>
    </x:row>
    <x:row r="2">
      <x:c r="A2" s="683" t="str">
        <x:v>Reference direction, planned production slots and canonical versions remain distinct; each slot has a semantic fallback and immutable replacement rule</x:v>
      </x:c>
      <x:c r="B2" s="683" t="str">
        <x:v>Reference direction, planned production slots and canonical versions remain distinct; each slot has a semantic fallback and immutable replacement rule</x:v>
      </x:c>
      <x:c r="C2" s="683" t="str">
        <x:v>Reference direction, planned production slots and canonical versions remain distinct; each slot has a semantic fallback and immutable replacement rule</x:v>
      </x:c>
      <x:c r="D2" s="683" t="str">
        <x:v>Reference direction, planned production slots and canonical versions remain distinct; each slot has a semantic fallback and immutable replacement rule</x:v>
      </x:c>
      <x:c r="E2" s="683" t="str">
        <x:v>Reference direction, planned production slots and canonical versions remain distinct; each slot has a semantic fallback and immutable replacement rule</x:v>
      </x:c>
      <x:c r="F2" s="683" t="str">
        <x:v>Reference direction, planned production slots and canonical versions remain distinct; each slot has a semantic fallback and immutable replacement rule</x:v>
      </x:c>
      <x:c r="G2" s="683" t="str">
        <x:v>Reference direction, planned production slots and canonical versions remain distinct; each slot has a semantic fallback and immutable replacement rule</x:v>
      </x:c>
      <x:c r="H2" s="683" t="str">
        <x:v>Reference direction, planned production slots and canonical versions remain distinct; each slot has a semantic fallback and immutable replacement rule</x:v>
      </x:c>
      <x:c r="I2" s="683" t="str">
        <x:v>Reference direction, planned production slots and canonical versions remain distinct; each slot has a semantic fallback and immutable replacement rule</x:v>
      </x:c>
      <x:c r="J2" s="683" t="str">
        <x:v>Reference direction, planned production slots and canonical versions remain distinct; each slot has a semantic fallback and immutable replacement rule</x:v>
      </x:c>
      <x:c r="K2" s="683" t="str">
        <x:v>Reference direction, planned production slots and canonical versions remain distinct; each slot has a semantic fallback and immutable replacement rule</x:v>
      </x:c>
      <x:c r="L2" s="683" t="str">
        <x:v>Reference direction, planned production slots and canonical versions remain distinct; each slot has a semantic fallback and immutable replacement rule</x:v>
      </x:c>
    </x:row>
    <x:row r="4">
      <x:c r="A4" s="723" t="str">
        <x:v>Asset ID</x:v>
      </x:c>
      <x:c r="B4" s="724" t="str">
        <x:v>Asset</x:v>
      </x:c>
      <x:c r="C4" s="724" t="str">
        <x:v>Category</x:v>
      </x:c>
      <x:c r="D4" s="724" t="str">
        <x:v>Status</x:v>
      </x:c>
      <x:c r="E4" s="724" t="str">
        <x:v>Screens</x:v>
      </x:c>
      <x:c r="F4" s="724" t="str">
        <x:v>Scenarios</x:v>
      </x:c>
      <x:c r="G4" s="724" t="str">
        <x:v>Medium</x:v>
      </x:c>
      <x:c r="H4" s="724" t="str">
        <x:v>Canonical scope</x:v>
      </x:c>
      <x:c r="I4" s="724" t="str">
        <x:v>Meaning</x:v>
      </x:c>
      <x:c r="J4" s="724" t="str">
        <x:v>Semantic fallback</x:v>
      </x:c>
      <x:c r="K4" s="724" t="str">
        <x:v>Rights status</x:v>
      </x:c>
      <x:c r="L4" s="725" t="str">
        <x:v>Review owner</x:v>
      </x:c>
    </x:row>
    <x:row r="5" ht="70" customHeight="1">
      <x:c r="A5" s="703" t="str">
        <x:v>VIS-AMB-001</x:v>
      </x:c>
      <x:c r="B5" s="703" t="str">
        <x:v>BREAKWATER King Tide environment direction</x:v>
      </x:c>
      <x:c r="C5" s="703" t="str">
        <x:v>ambient</x:v>
      </x:c>
      <x:c r="D5" s="758" t="str">
        <x:v>approved-reference</x:v>
      </x:c>
      <x:c r="E5" s="703" t="str">
        <x:v>SCR-04</x:v>
      </x:c>
      <x:c r="F5" s="703" t="str">
        <x:v>SCN-01, SCN-09, SCN-16</x:v>
      </x:c>
      <x:c r="G5" s="703" t="str">
        <x:v>Raster illustration</x:v>
      </x:c>
      <x:c r="H5" s="703" t="str">
        <x:v>illustrative-only</x:v>
      </x:c>
      <x:c r="I5" s="703" t="str">
        <x:v>meaningful</x:v>
      </x:c>
      <x:c r="J5" s="703" t="str">
        <x:v>CSS gradient/texture plus semantic place, weather and pressure text</x:v>
      </x:c>
      <x:c r="K5" s="703" t="str">
        <x:v>Production-rights review required before shipping</x:v>
      </x:c>
      <x:c r="L5" s="703" t="str">
        <x:v>Art direction + rights</x:v>
      </x:c>
    </x:row>
    <x:row r="6" ht="70" customHeight="1">
      <x:c r="A6" s="726" t="str">
        <x:v>VIS-AMB-002</x:v>
      </x:c>
      <x:c r="B6" s="726" t="str">
        <x:v>Campaign-library location cover</x:v>
      </x:c>
      <x:c r="C6" s="726" t="str">
        <x:v>ambient</x:v>
      </x:c>
      <x:c r="D6" s="759" t="str">
        <x:v>planned</x:v>
      </x:c>
      <x:c r="E6" s="726" t="str">
        <x:v>SCR-01</x:v>
      </x:c>
      <x:c r="F6" s="726" t="str">
        <x:v>SCN-01, SCN-13</x:v>
      </x:c>
      <x:c r="G6" s="726" t="str">
        <x:v>Raster illustration</x:v>
      </x:c>
      <x:c r="H6" s="726" t="str">
        <x:v>campaign-versioned</x:v>
      </x:c>
      <x:c r="I6" s="726" t="str">
        <x:v>meaningful</x:v>
      </x:c>
      <x:c r="J6" s="726" t="str">
        <x:v>CSS gradient/texture plus semantic place, weather and pressure text</x:v>
      </x:c>
      <x:c r="K6" s="726" t="str">
        <x:v>Not cleared; production-rights review required</x:v>
      </x:c>
      <x:c r="L6" s="726" t="str">
        <x:v>Art direction + rights</x:v>
      </x:c>
    </x:row>
    <x:row r="7" ht="70" customHeight="1">
      <x:c r="A7" s="727" t="str">
        <x:v>VIS-AMB-003</x:v>
      </x:c>
      <x:c r="B7" s="727" t="str">
        <x:v>Issue #0 premise atmosphere</x:v>
      </x:c>
      <x:c r="C7" s="727" t="str">
        <x:v>ambient</x:v>
      </x:c>
      <x:c r="D7" s="759" t="str">
        <x:v>planned</x:v>
      </x:c>
      <x:c r="E7" s="727" t="str">
        <x:v>SCR-02</x:v>
      </x:c>
      <x:c r="F7" s="727" t="str">
        <x:v>SCN-01, SCN-15, SCN-16</x:v>
      </x:c>
      <x:c r="G7" s="727" t="str">
        <x:v>Raster illustration</x:v>
      </x:c>
      <x:c r="H7" s="727" t="str">
        <x:v>illustrative-until-campaign-commit</x:v>
      </x:c>
      <x:c r="I7" s="727" t="str">
        <x:v>meaningful</x:v>
      </x:c>
      <x:c r="J7" s="727" t="str">
        <x:v>CSS gradient/texture plus semantic place, weather and pressure text</x:v>
      </x:c>
      <x:c r="K7" s="727" t="str">
        <x:v>Not cleared; production-rights review required</x:v>
      </x:c>
      <x:c r="L7" s="727" t="str">
        <x:v>Art direction + rights</x:v>
      </x:c>
    </x:row>
    <x:row r="8" ht="70" customHeight="1">
      <x:c r="A8" s="726" t="str">
        <x:v>VIS-AMB-004</x:v>
      </x:c>
      <x:c r="B8" s="726" t="str">
        <x:v>Regional identity keyplate</x:v>
      </x:c>
      <x:c r="C8" s="726" t="str">
        <x:v>ambient</x:v>
      </x:c>
      <x:c r="D8" s="759" t="str">
        <x:v>planned</x:v>
      </x:c>
      <x:c r="E8" s="726" t="str">
        <x:v>SCR-01, SCR-10</x:v>
      </x:c>
      <x:c r="F8" s="726" t="str">
        <x:v>SCN-09, SCN-13</x:v>
      </x:c>
      <x:c r="G8" s="726" t="str">
        <x:v>Raster illustration</x:v>
      </x:c>
      <x:c r="H8" s="726" t="str">
        <x:v>region-versioned</x:v>
      </x:c>
      <x:c r="I8" s="726" t="str">
        <x:v>meaningful</x:v>
      </x:c>
      <x:c r="J8" s="726" t="str">
        <x:v>CSS gradient/texture plus semantic place, weather and pressure text</x:v>
      </x:c>
      <x:c r="K8" s="726" t="str">
        <x:v>Not cleared; production-rights review required</x:v>
      </x:c>
      <x:c r="L8" s="726" t="str">
        <x:v>Art direction + rights</x:v>
      </x:c>
    </x:row>
    <x:row r="9" ht="70" customHeight="1">
      <x:c r="A9" s="727" t="str">
        <x:v>VIS-AMB-005</x:v>
      </x:c>
      <x:c r="B9" s="727" t="str">
        <x:v>Weather and time atmosphere layer</x:v>
      </x:c>
      <x:c r="C9" s="727" t="str">
        <x:v>ambient</x:v>
      </x:c>
      <x:c r="D9" s="759" t="str">
        <x:v>planned</x:v>
      </x:c>
      <x:c r="E9" s="727" t="str">
        <x:v>SCR-04, SCR-06</x:v>
      </x:c>
      <x:c r="F9" s="727" t="str">
        <x:v>SCN-01, SCN-06</x:v>
      </x:c>
      <x:c r="G9" s="727" t="str">
        <x:v>Raster illustration</x:v>
      </x:c>
      <x:c r="H9" s="727" t="str">
        <x:v>projection-versioned</x:v>
      </x:c>
      <x:c r="I9" s="727" t="str">
        <x:v>meaningful</x:v>
      </x:c>
      <x:c r="J9" s="727" t="str">
        <x:v>CSS gradient/texture plus semantic place, weather and pressure text</x:v>
      </x:c>
      <x:c r="K9" s="727" t="str">
        <x:v>Not cleared; production-rights review required</x:v>
      </x:c>
      <x:c r="L9" s="727" t="str">
        <x:v>Art direction + rights</x:v>
      </x:c>
    </x:row>
    <x:row r="10" ht="70" customHeight="1">
      <x:c r="A10" s="726" t="str">
        <x:v>VIS-AMB-006</x:v>
      </x:c>
      <x:c r="B10" s="726" t="str">
        <x:v>Civic institution ambient plate</x:v>
      </x:c>
      <x:c r="C10" s="726" t="str">
        <x:v>ambient</x:v>
      </x:c>
      <x:c r="D10" s="759" t="str">
        <x:v>planned</x:v>
      </x:c>
      <x:c r="E10" s="726" t="str">
        <x:v>SCR-08, SCR-11</x:v>
      </x:c>
      <x:c r="F10" s="726" t="str">
        <x:v>SCN-07, SCN-10</x:v>
      </x:c>
      <x:c r="G10" s="726" t="str">
        <x:v>Raster illustration</x:v>
      </x:c>
      <x:c r="H10" s="726" t="str">
        <x:v>institution-versioned</x:v>
      </x:c>
      <x:c r="I10" s="726" t="str">
        <x:v>meaningful</x:v>
      </x:c>
      <x:c r="J10" s="726" t="str">
        <x:v>CSS gradient/texture plus semantic place, weather and pressure text</x:v>
      </x:c>
      <x:c r="K10" s="726" t="str">
        <x:v>Not cleared; production-rights review required</x:v>
      </x:c>
      <x:c r="L10" s="726" t="str">
        <x:v>Art direction + rights</x:v>
      </x:c>
    </x:row>
    <x:row r="11" ht="70" customHeight="1">
      <x:c r="A11" s="727" t="str">
        <x:v>VIS-SCN-001</x:v>
      </x:c>
      <x:c r="B11" s="727" t="str">
        <x:v>Exploration/social Stage plate</x:v>
      </x:c>
      <x:c r="C11" s="727" t="str">
        <x:v>scene</x:v>
      </x:c>
      <x:c r="D11" s="759" t="str">
        <x:v>planned</x:v>
      </x:c>
      <x:c r="E11" s="727" t="str">
        <x:v>SCR-04</x:v>
      </x:c>
      <x:c r="F11" s="727" t="str">
        <x:v>SCN-01, SCN-04, SCN-09</x:v>
      </x:c>
      <x:c r="G11" s="727" t="str">
        <x:v>Raster illustration with optional transparent overlays</x:v>
      </x:c>
      <x:c r="H11" s="727" t="str">
        <x:v>scene-snapshot</x:v>
      </x:c>
      <x:c r="I11" s="727" t="str">
        <x:v>meaningful</x:v>
      </x:c>
      <x:c r="J11" s="727" t="str">
        <x:v>Semantic Stage frame with people, objects, hazards and spatial facts as structured content</x:v>
      </x:c>
      <x:c r="K11" s="727" t="str">
        <x:v>Not cleared; production-rights review required</x:v>
      </x:c>
      <x:c r="L11" s="727" t="str">
        <x:v>Art direction + rights</x:v>
      </x:c>
    </x:row>
    <x:row r="12" ht="70" customHeight="1">
      <x:c r="A12" s="726" t="str">
        <x:v>VIS-SCN-002</x:v>
      </x:c>
      <x:c r="B12" s="726" t="str">
        <x:v>Immediate-danger Stage variant</x:v>
      </x:c>
      <x:c r="C12" s="726" t="str">
        <x:v>scene</x:v>
      </x:c>
      <x:c r="D12" s="759" t="str">
        <x:v>planned</x:v>
      </x:c>
      <x:c r="E12" s="726" t="str">
        <x:v>SCR-06</x:v>
      </x:c>
      <x:c r="F12" s="726" t="str">
        <x:v>SCN-06, SCN-12</x:v>
      </x:c>
      <x:c r="G12" s="726" t="str">
        <x:v>Raster illustration with optional transparent overlays</x:v>
      </x:c>
      <x:c r="H12" s="726" t="str">
        <x:v>scene-snapshot</x:v>
      </x:c>
      <x:c r="I12" s="726" t="str">
        <x:v>meaningful</x:v>
      </x:c>
      <x:c r="J12" s="726" t="str">
        <x:v>Semantic Stage frame with people, objects, hazards and spatial facts as structured content</x:v>
      </x:c>
      <x:c r="K12" s="726" t="str">
        <x:v>Not cleared; production-rights review required</x:v>
      </x:c>
      <x:c r="L12" s="726" t="str">
        <x:v>Art direction + rights</x:v>
      </x:c>
    </x:row>
    <x:row r="13" ht="70" customHeight="1">
      <x:c r="A13" s="727" t="str">
        <x:v>VIS-SCN-003</x:v>
      </x:c>
      <x:c r="B13" s="727" t="str">
        <x:v>Tactical emphasis overlay</x:v>
      </x:c>
      <x:c r="C13" s="727" t="str">
        <x:v>scene</x:v>
      </x:c>
      <x:c r="D13" s="759" t="str">
        <x:v>planned</x:v>
      </x:c>
      <x:c r="E13" s="727" t="str">
        <x:v>SCR-06</x:v>
      </x:c>
      <x:c r="F13" s="727" t="str">
        <x:v>SCN-06</x:v>
      </x:c>
      <x:c r="G13" s="727" t="str">
        <x:v>Raster illustration with optional transparent overlays</x:v>
      </x:c>
      <x:c r="H13" s="727" t="str">
        <x:v>scene-snapshot</x:v>
      </x:c>
      <x:c r="I13" s="727" t="str">
        <x:v>meaningful</x:v>
      </x:c>
      <x:c r="J13" s="727" t="str">
        <x:v>Semantic Stage frame with people, objects, hazards and spatial facts as structured content</x:v>
      </x:c>
      <x:c r="K13" s="727" t="str">
        <x:v>Not cleared; production-rights review required</x:v>
      </x:c>
      <x:c r="L13" s="727" t="str">
        <x:v>Art direction + rights</x:v>
      </x:c>
    </x:row>
    <x:row r="14" ht="70" customHeight="1">
      <x:c r="A14" s="726" t="str">
        <x:v>VIS-SCN-004</x:v>
      </x:c>
      <x:c r="B14" s="726" t="str">
        <x:v>Interior civic-space plate</x:v>
      </x:c>
      <x:c r="C14" s="726" t="str">
        <x:v>scene</x:v>
      </x:c>
      <x:c r="D14" s="759" t="str">
        <x:v>planned</x:v>
      </x:c>
      <x:c r="E14" s="726" t="str">
        <x:v>SCR-04, SCR-11</x:v>
      </x:c>
      <x:c r="F14" s="726" t="str">
        <x:v>SCN-04, SCN-10</x:v>
      </x:c>
      <x:c r="G14" s="726" t="str">
        <x:v>Raster illustration with optional transparent overlays</x:v>
      </x:c>
      <x:c r="H14" s="726" t="str">
        <x:v>scene-snapshot</x:v>
      </x:c>
      <x:c r="I14" s="726" t="str">
        <x:v>meaningful</x:v>
      </x:c>
      <x:c r="J14" s="726" t="str">
        <x:v>Semantic Stage frame with people, objects, hazards and spatial facts as structured content</x:v>
      </x:c>
      <x:c r="K14" s="726" t="str">
        <x:v>Not cleared; production-rights review required</x:v>
      </x:c>
      <x:c r="L14" s="726" t="str">
        <x:v>Art direction + rights</x:v>
      </x:c>
    </x:row>
    <x:row r="15" ht="70" customHeight="1">
      <x:c r="A15" s="727" t="str">
        <x:v>VIS-SCN-005</x:v>
      </x:c>
      <x:c r="B15" s="727" t="str">
        <x:v>Travel departure plate</x:v>
      </x:c>
      <x:c r="C15" s="727" t="str">
        <x:v>scene</x:v>
      </x:c>
      <x:c r="D15" s="759" t="str">
        <x:v>planned</x:v>
      </x:c>
      <x:c r="E15" s="727" t="str">
        <x:v>SCR-10</x:v>
      </x:c>
      <x:c r="F15" s="727" t="str">
        <x:v>SCN-09, SCN-13</x:v>
      </x:c>
      <x:c r="G15" s="727" t="str">
        <x:v>Raster illustration with optional transparent overlays</x:v>
      </x:c>
      <x:c r="H15" s="727" t="str">
        <x:v>journey-snapshot</x:v>
      </x:c>
      <x:c r="I15" s="727" t="str">
        <x:v>meaningful</x:v>
      </x:c>
      <x:c r="J15" s="727" t="str">
        <x:v>Semantic Stage frame with people, objects, hazards and spatial facts as structured content</x:v>
      </x:c>
      <x:c r="K15" s="727" t="str">
        <x:v>Not cleared; production-rights review required</x:v>
      </x:c>
      <x:c r="L15" s="727" t="str">
        <x:v>Art direction + rights</x:v>
      </x:c>
    </x:row>
    <x:row r="16" ht="70" customHeight="1">
      <x:c r="A16" s="726" t="str">
        <x:v>VIS-SCN-006</x:v>
      </x:c>
      <x:c r="B16" s="726" t="str">
        <x:v>Travel arrival plate</x:v>
      </x:c>
      <x:c r="C16" s="726" t="str">
        <x:v>scene</x:v>
      </x:c>
      <x:c r="D16" s="759" t="str">
        <x:v>planned</x:v>
      </x:c>
      <x:c r="E16" s="726" t="str">
        <x:v>SCR-10</x:v>
      </x:c>
      <x:c r="F16" s="726" t="str">
        <x:v>SCN-09, SCN-13</x:v>
      </x:c>
      <x:c r="G16" s="726" t="str">
        <x:v>Raster illustration with optional transparent overlays</x:v>
      </x:c>
      <x:c r="H16" s="726" t="str">
        <x:v>journey-snapshot</x:v>
      </x:c>
      <x:c r="I16" s="726" t="str">
        <x:v>meaningful</x:v>
      </x:c>
      <x:c r="J16" s="726" t="str">
        <x:v>Semantic Stage frame with people, objects, hazards and spatial facts as structured content</x:v>
      </x:c>
      <x:c r="K16" s="726" t="str">
        <x:v>Not cleared; production-rights review required</x:v>
      </x:c>
      <x:c r="L16" s="726" t="str">
        <x:v>Art direction + rights</x:v>
      </x:c>
    </x:row>
    <x:row r="17" ht="70" customHeight="1">
      <x:c r="A17" s="727" t="str">
        <x:v>VIS-SCN-007</x:v>
      </x:c>
      <x:c r="B17" s="727" t="str">
        <x:v>Return-context scene plate</x:v>
      </x:c>
      <x:c r="C17" s="727" t="str">
        <x:v>scene</x:v>
      </x:c>
      <x:c r="D17" s="759" t="str">
        <x:v>planned</x:v>
      </x:c>
      <x:c r="E17" s="727" t="str">
        <x:v>SCR-01, SCR-13</x:v>
      </x:c>
      <x:c r="F17" s="727" t="str">
        <x:v>SCN-13, SCN-17</x:v>
      </x:c>
      <x:c r="G17" s="727" t="str">
        <x:v>Raster illustration with optional transparent overlays</x:v>
      </x:c>
      <x:c r="H17" s="727" t="str">
        <x:v>last-known-projection</x:v>
      </x:c>
      <x:c r="I17" s="727" t="str">
        <x:v>meaningful</x:v>
      </x:c>
      <x:c r="J17" s="727" t="str">
        <x:v>Semantic Stage frame with people, objects, hazards and spatial facts as structured content</x:v>
      </x:c>
      <x:c r="K17" s="727" t="str">
        <x:v>Not cleared; production-rights review required</x:v>
      </x:c>
      <x:c r="L17" s="727" t="str">
        <x:v>Art direction + rights</x:v>
      </x:c>
    </x:row>
    <x:row r="18" ht="70" customHeight="1">
      <x:c r="A18" s="726" t="str">
        <x:v>VIS-SCN-008</x:v>
      </x:c>
      <x:c r="B18" s="726" t="str">
        <x:v>Long-session quiet-stage variant</x:v>
      </x:c>
      <x:c r="C18" s="726" t="str">
        <x:v>scene</x:v>
      </x:c>
      <x:c r="D18" s="759" t="str">
        <x:v>planned</x:v>
      </x:c>
      <x:c r="E18" s="726" t="str">
        <x:v>SCR-04</x:v>
      </x:c>
      <x:c r="F18" s="726" t="str">
        <x:v>SCN-16</x:v>
      </x:c>
      <x:c r="G18" s="726" t="str">
        <x:v>Raster illustration with optional transparent overlays</x:v>
      </x:c>
      <x:c r="H18" s="726" t="str">
        <x:v>scene-snapshot</x:v>
      </x:c>
      <x:c r="I18" s="726" t="str">
        <x:v>meaningful</x:v>
      </x:c>
      <x:c r="J18" s="726" t="str">
        <x:v>Semantic Stage frame with people, objects, hazards and spatial facts as structured content</x:v>
      </x:c>
      <x:c r="K18" s="726" t="str">
        <x:v>Not cleared; production-rights review required</x:v>
      </x:c>
      <x:c r="L18" s="726" t="str">
        <x:v>Art direction + rights</x:v>
      </x:c>
    </x:row>
    <x:row r="19" ht="70" customHeight="1">
      <x:c r="A19" s="727" t="str">
        <x:v>VIS-ENT-001</x:v>
      </x:c>
      <x:c r="B19" s="727" t="str">
        <x:v>Player-defined appearance anchor</x:v>
      </x:c>
      <x:c r="C19" s="727" t="str">
        <x:v>entity</x:v>
      </x:c>
      <x:c r="D19" s="761" t="str">
        <x:v>blocked-invariant</x:v>
      </x:c>
      <x:c r="E19" s="727" t="str">
        <x:v>SCR-03, SCR-07</x:v>
      </x:c>
      <x:c r="F19" s="727" t="str">
        <x:v>SCN-02, SCN-03</x:v>
      </x:c>
      <x:c r="G19" s="727" t="str">
        <x:v>Transparent raster cutout/portrait</x:v>
      </x:c>
      <x:c r="H19" s="727" t="str">
        <x:v>player-character-versioned</x:v>
      </x:c>
      <x:c r="I19" s="727" t="str">
        <x:v>meaningful</x:v>
      </x:c>
      <x:c r="J19" s="727" t="str">
        <x:v>Initial/silhouette plus entity name, role and current known state</x:v>
      </x:c>
      <x:c r="K19" s="727" t="str">
        <x:v>Not cleared; production-rights review required</x:v>
      </x:c>
      <x:c r="L19" s="727" t="str">
        <x:v>Art direction + canon/appearance owner</x:v>
      </x:c>
    </x:row>
    <x:row r="20" ht="70" customHeight="1">
      <x:c r="A20" s="726" t="str">
        <x:v>VIS-ENT-002</x:v>
      </x:c>
      <x:c r="B20" s="726" t="str">
        <x:v>Player silhouette and crop set</x:v>
      </x:c>
      <x:c r="C20" s="726" t="str">
        <x:v>entity</x:v>
      </x:c>
      <x:c r="D20" s="759" t="str">
        <x:v>planned</x:v>
      </x:c>
      <x:c r="E20" s="726" t="str">
        <x:v>SCR-03, SCR-07</x:v>
      </x:c>
      <x:c r="F20" s="726" t="str">
        <x:v>SCN-02, SCN-03, SCN-16</x:v>
      </x:c>
      <x:c r="G20" s="726" t="str">
        <x:v>Transparent raster cutout/portrait</x:v>
      </x:c>
      <x:c r="H20" s="726" t="str">
        <x:v>player-character-versioned</x:v>
      </x:c>
      <x:c r="I20" s="726" t="str">
        <x:v>meaningful</x:v>
      </x:c>
      <x:c r="J20" s="726" t="str">
        <x:v>Initial/silhouette plus entity name, role and current known state</x:v>
      </x:c>
      <x:c r="K20" s="726" t="str">
        <x:v>Not cleared; production-rights review required</x:v>
      </x:c>
      <x:c r="L20" s="726" t="str">
        <x:v>Art direction + canon/appearance owner</x:v>
      </x:c>
    </x:row>
    <x:row r="21" ht="70" customHeight="1">
      <x:c r="A21" s="727" t="str">
        <x:v>VIS-ENT-003</x:v>
      </x:c>
      <x:c r="B21" s="727" t="str">
        <x:v>NPC appearance anchor</x:v>
      </x:c>
      <x:c r="C21" s="727" t="str">
        <x:v>entity</x:v>
      </x:c>
      <x:c r="D21" s="761" t="str">
        <x:v>blocked-invariant</x:v>
      </x:c>
      <x:c r="E21" s="727" t="str">
        <x:v>SCR-04, SCR-08</x:v>
      </x:c>
      <x:c r="F21" s="727" t="str">
        <x:v>SCN-04, SCN-07</x:v>
      </x:c>
      <x:c r="G21" s="727" t="str">
        <x:v>Transparent raster cutout/portrait</x:v>
      </x:c>
      <x:c r="H21" s="727" t="str">
        <x:v>entity-versioned</x:v>
      </x:c>
      <x:c r="I21" s="727" t="str">
        <x:v>meaningful</x:v>
      </x:c>
      <x:c r="J21" s="727" t="str">
        <x:v>Initial/silhouette plus entity name, role and current known state</x:v>
      </x:c>
      <x:c r="K21" s="727" t="str">
        <x:v>Not cleared; production-rights review required</x:v>
      </x:c>
      <x:c r="L21" s="727" t="str">
        <x:v>Art direction + canon/appearance owner</x:v>
      </x:c>
    </x:row>
    <x:row r="22" ht="70" customHeight="1">
      <x:c r="A22" s="726" t="str">
        <x:v>VIS-ENT-004</x:v>
      </x:c>
      <x:c r="B22" s="726" t="str">
        <x:v>Dr. Mara Vance appearance anchor</x:v>
      </x:c>
      <x:c r="C22" s="726" t="str">
        <x:v>entity</x:v>
      </x:c>
      <x:c r="D22" s="761" t="str">
        <x:v>blocked-invariant</x:v>
      </x:c>
      <x:c r="E22" s="726" t="str">
        <x:v>SCR-04, SCR-08</x:v>
      </x:c>
      <x:c r="F22" s="726" t="str">
        <x:v>SCN-04, SCN-07</x:v>
      </x:c>
      <x:c r="G22" s="726" t="str">
        <x:v>Transparent raster cutout/portrait</x:v>
      </x:c>
      <x:c r="H22" s="726" t="str">
        <x:v>entity-versioned</x:v>
      </x:c>
      <x:c r="I22" s="726" t="str">
        <x:v>meaningful</x:v>
      </x:c>
      <x:c r="J22" s="726" t="str">
        <x:v>Initial/silhouette plus entity name, role and current known state</x:v>
      </x:c>
      <x:c r="K22" s="726" t="str">
        <x:v>Not cleared; production-rights review required</x:v>
      </x:c>
      <x:c r="L22" s="726" t="str">
        <x:v>Art direction + canon/appearance owner</x:v>
      </x:c>
    </x:row>
    <x:row r="23" ht="70" customHeight="1">
      <x:c r="A23" s="727" t="str">
        <x:v>VIS-ENT-005</x:v>
      </x:c>
      <x:c r="B23" s="727" t="str">
        <x:v>Buoy Nine entity direction</x:v>
      </x:c>
      <x:c r="C23" s="727" t="str">
        <x:v>entity</x:v>
      </x:c>
      <x:c r="D23" s="763" t="str">
        <x:v>approved-reference</x:v>
      </x:c>
      <x:c r="E23" s="727" t="str">
        <x:v>SCR-04, SCR-08</x:v>
      </x:c>
      <x:c r="F23" s="727" t="str">
        <x:v>SCN-08, SCN-16</x:v>
      </x:c>
      <x:c r="G23" s="727" t="str">
        <x:v>Transparent raster cutout/portrait</x:v>
      </x:c>
      <x:c r="H23" s="727" t="str">
        <x:v>entity-versioned</x:v>
      </x:c>
      <x:c r="I23" s="727" t="str">
        <x:v>meaningful</x:v>
      </x:c>
      <x:c r="J23" s="727" t="str">
        <x:v>Initial/silhouette plus entity name, role and current known state</x:v>
      </x:c>
      <x:c r="K23" s="727" t="str">
        <x:v>Production-rights review required before shipping</x:v>
      </x:c>
      <x:c r="L23" s="727" t="str">
        <x:v>Art direction + canon/appearance owner</x:v>
      </x:c>
    </x:row>
    <x:row r="24" ht="70" customHeight="1">
      <x:c r="A24" s="726" t="str">
        <x:v>VIS-ENT-006</x:v>
      </x:c>
      <x:c r="B24" s="726" t="str">
        <x:v>Relic changed/damaged appearance</x:v>
      </x:c>
      <x:c r="C24" s="726" t="str">
        <x:v>entity</x:v>
      </x:c>
      <x:c r="D24" s="761" t="str">
        <x:v>blocked-event</x:v>
      </x:c>
      <x:c r="E24" s="726" t="str">
        <x:v>SCR-06, SCR-08</x:v>
      </x:c>
      <x:c r="F24" s="726" t="str">
        <x:v>SCN-06, SCN-08</x:v>
      </x:c>
      <x:c r="G24" s="726" t="str">
        <x:v>Transparent raster cutout/portrait</x:v>
      </x:c>
      <x:c r="H24" s="726" t="str">
        <x:v>event-versioned</x:v>
      </x:c>
      <x:c r="I24" s="726" t="str">
        <x:v>meaningful</x:v>
      </x:c>
      <x:c r="J24" s="726" t="str">
        <x:v>Initial/silhouette plus entity name, role and current known state</x:v>
      </x:c>
      <x:c r="K24" s="726" t="str">
        <x:v>Not cleared; production-rights review required</x:v>
      </x:c>
      <x:c r="L24" s="726" t="str">
        <x:v>Art direction + canon/appearance owner</x:v>
      </x:c>
    </x:row>
    <x:row r="25" ht="70" customHeight="1">
      <x:c r="A25" s="727" t="str">
        <x:v>VIS-ENT-007</x:v>
      </x:c>
      <x:c r="B25" s="727" t="str">
        <x:v>Companion/entity portrait template</x:v>
      </x:c>
      <x:c r="C25" s="727" t="str">
        <x:v>entity</x:v>
      </x:c>
      <x:c r="D25" s="759" t="str">
        <x:v>planned</x:v>
      </x:c>
      <x:c r="E25" s="727" t="str">
        <x:v>SCR-04, SCR-08</x:v>
      </x:c>
      <x:c r="F25" s="727" t="str">
        <x:v>SCN-07, SCN-08</x:v>
      </x:c>
      <x:c r="G25" s="727" t="str">
        <x:v>Transparent raster cutout/portrait</x:v>
      </x:c>
      <x:c r="H25" s="727" t="str">
        <x:v>entity-versioned</x:v>
      </x:c>
      <x:c r="I25" s="727" t="str">
        <x:v>meaningful</x:v>
      </x:c>
      <x:c r="J25" s="727" t="str">
        <x:v>Initial/silhouette plus entity name, role and current known state</x:v>
      </x:c>
      <x:c r="K25" s="727" t="str">
        <x:v>Not cleared; production-rights review required</x:v>
      </x:c>
      <x:c r="L25" s="727" t="str">
        <x:v>Art direction + canon/appearance owner</x:v>
      </x:c>
    </x:row>
    <x:row r="26" ht="70" customHeight="1">
      <x:c r="A26" s="726" t="str">
        <x:v>VIS-ENT-008</x:v>
      </x:c>
      <x:c r="B26" s="726" t="str">
        <x:v>Known vehicle/entity cutout</x:v>
      </x:c>
      <x:c r="C26" s="726" t="str">
        <x:v>entity</x:v>
      </x:c>
      <x:c r="D26" s="759" t="str">
        <x:v>planned</x:v>
      </x:c>
      <x:c r="E26" s="726" t="str">
        <x:v>SCR-04, SCR-10</x:v>
      </x:c>
      <x:c r="F26" s="726" t="str">
        <x:v>SCN-09</x:v>
      </x:c>
      <x:c r="G26" s="726" t="str">
        <x:v>Transparent raster cutout/portrait</x:v>
      </x:c>
      <x:c r="H26" s="726" t="str">
        <x:v>entity-versioned</x:v>
      </x:c>
      <x:c r="I26" s="726" t="str">
        <x:v>meaningful</x:v>
      </x:c>
      <x:c r="J26" s="726" t="str">
        <x:v>Initial/silhouette plus entity name, role and current known state</x:v>
      </x:c>
      <x:c r="K26" s="726" t="str">
        <x:v>Not cleared; production-rights review required</x:v>
      </x:c>
      <x:c r="L26" s="726" t="str">
        <x:v>Art direction + canon/appearance owner</x:v>
      </x:c>
    </x:row>
    <x:row r="27" ht="70" customHeight="1">
      <x:c r="A27" s="727" t="str">
        <x:v>VIS-ENT-009</x:v>
      </x:c>
      <x:c r="B27" s="727" t="str">
        <x:v>Institution identity mark</x:v>
      </x:c>
      <x:c r="C27" s="727" t="str">
        <x:v>entity</x:v>
      </x:c>
      <x:c r="D27" s="759" t="str">
        <x:v>planned</x:v>
      </x:c>
      <x:c r="E27" s="727" t="str">
        <x:v>SCR-08, SCR-11</x:v>
      </x:c>
      <x:c r="F27" s="727" t="str">
        <x:v>SCN-07, SCN-10</x:v>
      </x:c>
      <x:c r="G27" s="727" t="str">
        <x:v>Transparent raster cutout/portrait</x:v>
      </x:c>
      <x:c r="H27" s="727" t="str">
        <x:v>institution-versioned</x:v>
      </x:c>
      <x:c r="I27" s="727" t="str">
        <x:v>meaningful</x:v>
      </x:c>
      <x:c r="J27" s="727" t="str">
        <x:v>Initial/silhouette plus entity name, role and current known state</x:v>
      </x:c>
      <x:c r="K27" s="727" t="str">
        <x:v>Not cleared; production-rights review required</x:v>
      </x:c>
      <x:c r="L27" s="727" t="str">
        <x:v>Art direction + canon/appearance owner</x:v>
      </x:c>
    </x:row>
    <x:row r="28" ht="70" customHeight="1">
      <x:c r="A28" s="726" t="str">
        <x:v>VIS-ENT-010</x:v>
      </x:c>
      <x:c r="B28" s="726" t="str">
        <x:v>Withheld/unknown identity silhouette</x:v>
      </x:c>
      <x:c r="C28" s="726" t="str">
        <x:v>entity</x:v>
      </x:c>
      <x:c r="D28" s="759" t="str">
        <x:v>planned</x:v>
      </x:c>
      <x:c r="E28" s="726" t="str">
        <x:v>SCR-04, SCR-11</x:v>
      </x:c>
      <x:c r="F28" s="726" t="str">
        <x:v>SCN-09, SCN-10</x:v>
      </x:c>
      <x:c r="G28" s="726" t="str">
        <x:v>Transparent raster cutout/portrait</x:v>
      </x:c>
      <x:c r="H28" s="726" t="str">
        <x:v>knowledge-safe-placeholder</x:v>
      </x:c>
      <x:c r="I28" s="726" t="str">
        <x:v>meaningful</x:v>
      </x:c>
      <x:c r="J28" s="726" t="str">
        <x:v>Initial/silhouette plus entity name, role and current known state</x:v>
      </x:c>
      <x:c r="K28" s="726" t="str">
        <x:v>Not cleared; production-rights review required</x:v>
      </x:c>
      <x:c r="L28" s="726" t="str">
        <x:v>Art direction + canon/appearance owner</x:v>
      </x:c>
    </x:row>
    <x:row r="29" ht="70" customHeight="1">
      <x:c r="A29" s="727" t="str">
        <x:v>VIS-OBJ-001</x:v>
      </x:c>
      <x:c r="B29" s="727" t="str">
        <x:v>Equipment cutout</x:v>
      </x:c>
      <x:c r="C29" s="727" t="str">
        <x:v>object</x:v>
      </x:c>
      <x:c r="D29" s="759" t="str">
        <x:v>planned</x:v>
      </x:c>
      <x:c r="E29" s="727" t="str">
        <x:v>SCR-07, SCR-09</x:v>
      </x:c>
      <x:c r="F29" s="727" t="str">
        <x:v>SCN-03, SCN-06</x:v>
      </x:c>
      <x:c r="G29" s="727" t="str">
        <x:v>Transparent raster cutout or detail plate</x:v>
      </x:c>
      <x:c r="H29" s="727" t="str">
        <x:v>object-versioned</x:v>
      </x:c>
      <x:c r="I29" s="727" t="str">
        <x:v>meaningful</x:v>
      </x:c>
      <x:c r="J29" s="727" t="str">
        <x:v>Category glyph plus object name, condition, custody and provenance text</x:v>
      </x:c>
      <x:c r="K29" s="727" t="str">
        <x:v>Not cleared; production-rights review required</x:v>
      </x:c>
      <x:c r="L29" s="727" t="str">
        <x:v>Art direction + rights</x:v>
      </x:c>
    </x:row>
    <x:row r="30" ht="70" customHeight="1">
      <x:c r="A30" s="726" t="str">
        <x:v>VIS-OBJ-002</x:v>
      </x:c>
      <x:c r="B30" s="726" t="str">
        <x:v>Evidence-object detail</x:v>
      </x:c>
      <x:c r="C30" s="726" t="str">
        <x:v>object</x:v>
      </x:c>
      <x:c r="D30" s="759" t="str">
        <x:v>planned</x:v>
      </x:c>
      <x:c r="E30" s="726" t="str">
        <x:v>SCR-11</x:v>
      </x:c>
      <x:c r="F30" s="726" t="str">
        <x:v>SCN-10, SCN-11</x:v>
      </x:c>
      <x:c r="G30" s="726" t="str">
        <x:v>Transparent raster cutout or detail plate</x:v>
      </x:c>
      <x:c r="H30" s="726" t="str">
        <x:v>evidence-versioned</x:v>
      </x:c>
      <x:c r="I30" s="726" t="str">
        <x:v>meaningful</x:v>
      </x:c>
      <x:c r="J30" s="726" t="str">
        <x:v>Category glyph plus object name, condition, custody and provenance text</x:v>
      </x:c>
      <x:c r="K30" s="726" t="str">
        <x:v>Not cleared; production-rights review required</x:v>
      </x:c>
      <x:c r="L30" s="726" t="str">
        <x:v>Art direction + rights</x:v>
      </x:c>
    </x:row>
    <x:row r="31" ht="70" customHeight="1">
      <x:c r="A31" s="727" t="str">
        <x:v>VIS-OBJ-003</x:v>
      </x:c>
      <x:c r="B31" s="727" t="str">
        <x:v>Custody-item cutout</x:v>
      </x:c>
      <x:c r="C31" s="727" t="str">
        <x:v>object</x:v>
      </x:c>
      <x:c r="D31" s="759" t="str">
        <x:v>planned</x:v>
      </x:c>
      <x:c r="E31" s="727" t="str">
        <x:v>SCR-09</x:v>
      </x:c>
      <x:c r="F31" s="727" t="str">
        <x:v>SCN-06</x:v>
      </x:c>
      <x:c r="G31" s="727" t="str">
        <x:v>Transparent raster cutout or detail plate</x:v>
      </x:c>
      <x:c r="H31" s="727" t="str">
        <x:v>object-versioned</x:v>
      </x:c>
      <x:c r="I31" s="727" t="str">
        <x:v>meaningful</x:v>
      </x:c>
      <x:c r="J31" s="727" t="str">
        <x:v>Category glyph plus object name, condition, custody and provenance text</x:v>
      </x:c>
      <x:c r="K31" s="727" t="str">
        <x:v>Not cleared; production-rights review required</x:v>
      </x:c>
      <x:c r="L31" s="727" t="str">
        <x:v>Art direction + rights</x:v>
      </x:c>
    </x:row>
    <x:row r="32" ht="70" customHeight="1">
      <x:c r="A32" s="726" t="str">
        <x:v>VIS-OBJ-004</x:v>
      </x:c>
      <x:c r="B32" s="726" t="str">
        <x:v>Craft/repair comparison set</x:v>
      </x:c>
      <x:c r="C32" s="726" t="str">
        <x:v>object</x:v>
      </x:c>
      <x:c r="D32" s="759" t="str">
        <x:v>planned</x:v>
      </x:c>
      <x:c r="E32" s="726" t="str">
        <x:v>SCR-09</x:v>
      </x:c>
      <x:c r="F32" s="726" t="str">
        <x:v>SCN-06, SCN-16</x:v>
      </x:c>
      <x:c r="G32" s="726" t="str">
        <x:v>Transparent raster cutout or detail plate</x:v>
      </x:c>
      <x:c r="H32" s="726" t="str">
        <x:v>object-versioned</x:v>
      </x:c>
      <x:c r="I32" s="726" t="str">
        <x:v>meaningful</x:v>
      </x:c>
      <x:c r="J32" s="726" t="str">
        <x:v>Category glyph plus object name, condition, custody and provenance text</x:v>
      </x:c>
      <x:c r="K32" s="726" t="str">
        <x:v>Not cleared; production-rights review required</x:v>
      </x:c>
      <x:c r="L32" s="726" t="str">
        <x:v>Art direction + rights</x:v>
      </x:c>
    </x:row>
    <x:row r="33" ht="70" customHeight="1">
      <x:c r="A33" s="727" t="str">
        <x:v>VIS-OBJ-005</x:v>
      </x:c>
      <x:c r="B33" s="727" t="str">
        <x:v>Grounded civic action-object direction</x:v>
      </x:c>
      <x:c r="C33" s="727" t="str">
        <x:v>object</x:v>
      </x:c>
      <x:c r="D33" s="763" t="str">
        <x:v>approved-reference</x:v>
      </x:c>
      <x:c r="E33" s="727" t="str">
        <x:v>SCR-04, SCR-05, SCR-09</x:v>
      </x:c>
      <x:c r="F33" s="727" t="str">
        <x:v>SCN-04, SCN-05, SCN-06</x:v>
      </x:c>
      <x:c r="G33" s="727" t="str">
        <x:v>Transparent raster cutout or detail plate</x:v>
      </x:c>
      <x:c r="H33" s="727" t="str">
        <x:v>illustrative-only</x:v>
      </x:c>
      <x:c r="I33" s="727" t="str">
        <x:v>meaningful</x:v>
      </x:c>
      <x:c r="J33" s="727" t="str">
        <x:v>Category glyph plus object name, condition, custody and provenance text</x:v>
      </x:c>
      <x:c r="K33" s="727" t="str">
        <x:v>Production-rights review required before shipping</x:v>
      </x:c>
      <x:c r="L33" s="727" t="str">
        <x:v>Art direction + rights</x:v>
      </x:c>
    </x:row>
    <x:row r="34" ht="70" customHeight="1">
      <x:c r="A34" s="726" t="str">
        <x:v>VIS-OBJ-006</x:v>
      </x:c>
      <x:c r="B34" s="726" t="str">
        <x:v>Changed/damaged object variant</x:v>
      </x:c>
      <x:c r="C34" s="726" t="str">
        <x:v>object</x:v>
      </x:c>
      <x:c r="D34" s="761" t="str">
        <x:v>blocked-event</x:v>
      </x:c>
      <x:c r="E34" s="726" t="str">
        <x:v>SCR-05, SCR-09</x:v>
      </x:c>
      <x:c r="F34" s="726" t="str">
        <x:v>SCN-05, SCN-06</x:v>
      </x:c>
      <x:c r="G34" s="726" t="str">
        <x:v>Transparent raster cutout or detail plate</x:v>
      </x:c>
      <x:c r="H34" s="726" t="str">
        <x:v>event-versioned</x:v>
      </x:c>
      <x:c r="I34" s="726" t="str">
        <x:v>meaningful</x:v>
      </x:c>
      <x:c r="J34" s="726" t="str">
        <x:v>Category glyph plus object name, condition, custody and provenance text</x:v>
      </x:c>
      <x:c r="K34" s="726" t="str">
        <x:v>Not cleared; production-rights review required</x:v>
      </x:c>
      <x:c r="L34" s="726" t="str">
        <x:v>Art direction + rights</x:v>
      </x:c>
    </x:row>
    <x:row r="35" ht="70" customHeight="1">
      <x:c r="A35" s="727" t="str">
        <x:v>VIS-EVT-001</x:v>
      </x:c>
      <x:c r="B35" s="727" t="str">
        <x:v>World-first success consequence</x:v>
      </x:c>
      <x:c r="C35" s="727" t="str">
        <x:v>event</x:v>
      </x:c>
      <x:c r="D35" s="759" t="str">
        <x:v>planned</x:v>
      </x:c>
      <x:c r="E35" s="727" t="str">
        <x:v>SCR-05</x:v>
      </x:c>
      <x:c r="F35" s="727" t="str">
        <x:v>SCN-05, SCN-16</x:v>
      </x:c>
      <x:c r="G35" s="727" t="str">
        <x:v>Raster consequence plate</x:v>
      </x:c>
      <x:c r="H35" s="727" t="str">
        <x:v>event-range-versioned</x:v>
      </x:c>
      <x:c r="I35" s="727" t="str">
        <x:v>meaningful</x:v>
      </x:c>
      <x:c r="J35" s="727" t="str">
        <x:v>World-first structured delta, cause, cost and unchanged-facts presentation</x:v>
      </x:c>
      <x:c r="K35" s="727" t="str">
        <x:v>Not cleared; production-rights review required</x:v>
      </x:c>
      <x:c r="L35" s="727" t="str">
        <x:v>Art direction + rights</x:v>
      </x:c>
    </x:row>
    <x:row r="36" ht="70" customHeight="1">
      <x:c r="A36" s="726" t="str">
        <x:v>VIS-EVT-002</x:v>
      </x:c>
      <x:c r="B36" s="726" t="str">
        <x:v>West Gate mixed-outcome direction</x:v>
      </x:c>
      <x:c r="C36" s="726" t="str">
        <x:v>event</x:v>
      </x:c>
      <x:c r="D36" s="763" t="str">
        <x:v>approved-reference</x:v>
      </x:c>
      <x:c r="E36" s="726" t="str">
        <x:v>SCR-05</x:v>
      </x:c>
      <x:c r="F36" s="726" t="str">
        <x:v>SCN-05, SCN-16</x:v>
      </x:c>
      <x:c r="G36" s="726" t="str">
        <x:v>Raster consequence plate</x:v>
      </x:c>
      <x:c r="H36" s="726" t="str">
        <x:v>illustrative-only</x:v>
      </x:c>
      <x:c r="I36" s="726" t="str">
        <x:v>meaningful</x:v>
      </x:c>
      <x:c r="J36" s="726" t="str">
        <x:v>World-first structured delta, cause, cost and unchanged-facts presentation</x:v>
      </x:c>
      <x:c r="K36" s="726" t="str">
        <x:v>Production-rights review required before shipping</x:v>
      </x:c>
      <x:c r="L36" s="726" t="str">
        <x:v>Art direction + rights</x:v>
      </x:c>
    </x:row>
    <x:row r="37" ht="70" customHeight="1">
      <x:c r="A37" s="727" t="str">
        <x:v>VIS-EVT-003</x:v>
      </x:c>
      <x:c r="B37" s="727" t="str">
        <x:v>Failure with unchanged-facts plate</x:v>
      </x:c>
      <x:c r="C37" s="727" t="str">
        <x:v>event</x:v>
      </x:c>
      <x:c r="D37" s="759" t="str">
        <x:v>planned</x:v>
      </x:c>
      <x:c r="E37" s="727" t="str">
        <x:v>SCR-05, SCR-06</x:v>
      </x:c>
      <x:c r="F37" s="727" t="str">
        <x:v>SCN-05, SCN-06</x:v>
      </x:c>
      <x:c r="G37" s="727" t="str">
        <x:v>Raster consequence plate</x:v>
      </x:c>
      <x:c r="H37" s="727" t="str">
        <x:v>event-range-versioned</x:v>
      </x:c>
      <x:c r="I37" s="727" t="str">
        <x:v>meaningful</x:v>
      </x:c>
      <x:c r="J37" s="727" t="str">
        <x:v>World-first structured delta, cause, cost and unchanged-facts presentation</x:v>
      </x:c>
      <x:c r="K37" s="727" t="str">
        <x:v>Not cleared; production-rights review required</x:v>
      </x:c>
      <x:c r="L37" s="727" t="str">
        <x:v>Art direction + rights</x:v>
      </x:c>
    </x:row>
    <x:row r="38" ht="70" customHeight="1">
      <x:c r="A38" s="726" t="str">
        <x:v>VIS-EVT-004</x:v>
      </x:c>
      <x:c r="B38" s="726" t="str">
        <x:v>Autonomous refusal/counteroffer beat</x:v>
      </x:c>
      <x:c r="C38" s="726" t="str">
        <x:v>event</x:v>
      </x:c>
      <x:c r="D38" s="759" t="str">
        <x:v>planned</x:v>
      </x:c>
      <x:c r="E38" s="726" t="str">
        <x:v>SCR-05, SCR-08</x:v>
      </x:c>
      <x:c r="F38" s="726" t="str">
        <x:v>SCN-05, SCN-08</x:v>
      </x:c>
      <x:c r="G38" s="726" t="str">
        <x:v>Raster consequence plate</x:v>
      </x:c>
      <x:c r="H38" s="726" t="str">
        <x:v>event-range-versioned</x:v>
      </x:c>
      <x:c r="I38" s="726" t="str">
        <x:v>meaningful</x:v>
      </x:c>
      <x:c r="J38" s="726" t="str">
        <x:v>World-first structured delta, cause, cost and unchanged-facts presentation</x:v>
      </x:c>
      <x:c r="K38" s="726" t="str">
        <x:v>Not cleared; production-rights review required</x:v>
      </x:c>
      <x:c r="L38" s="726" t="str">
        <x:v>Art direction + rights</x:v>
      </x:c>
    </x:row>
    <x:row r="39" ht="70" customHeight="1">
      <x:c r="A39" s="727" t="str">
        <x:v>VIS-EVT-005</x:v>
      </x:c>
      <x:c r="B39" s="727" t="str">
        <x:v>Destructive consequence plate</x:v>
      </x:c>
      <x:c r="C39" s="727" t="str">
        <x:v>event</x:v>
      </x:c>
      <x:c r="D39" s="761" t="str">
        <x:v>blocked-event</x:v>
      </x:c>
      <x:c r="E39" s="727" t="str">
        <x:v>SCR-06, SCR-09</x:v>
      </x:c>
      <x:c r="F39" s="727" t="str">
        <x:v>SCN-06, SCN-12</x:v>
      </x:c>
      <x:c r="G39" s="727" t="str">
        <x:v>Raster consequence plate</x:v>
      </x:c>
      <x:c r="H39" s="727" t="str">
        <x:v>event-range-versioned</x:v>
      </x:c>
      <x:c r="I39" s="727" t="str">
        <x:v>meaningful</x:v>
      </x:c>
      <x:c r="J39" s="727" t="str">
        <x:v>World-first structured delta, cause, cost and unchanged-facts presentation</x:v>
      </x:c>
      <x:c r="K39" s="727" t="str">
        <x:v>Not cleared; production-rights review required</x:v>
      </x:c>
      <x:c r="L39" s="727" t="str">
        <x:v>Art direction + rights</x:v>
      </x:c>
    </x:row>
    <x:row r="40" ht="70" customHeight="1">
      <x:c r="A40" s="726" t="str">
        <x:v>VIS-EVT-006</x:v>
      </x:c>
      <x:c r="B40" s="726" t="str">
        <x:v>Appearance transformation plate</x:v>
      </x:c>
      <x:c r="C40" s="726" t="str">
        <x:v>event</x:v>
      </x:c>
      <x:c r="D40" s="761" t="str">
        <x:v>blocked-event</x:v>
      </x:c>
      <x:c r="E40" s="726" t="str">
        <x:v>SCR-07, SCR-08</x:v>
      </x:c>
      <x:c r="F40" s="726" t="str">
        <x:v>SCN-03, SCN-08</x:v>
      </x:c>
      <x:c r="G40" s="726" t="str">
        <x:v>Raster consequence plate</x:v>
      </x:c>
      <x:c r="H40" s="726" t="str">
        <x:v>event-range-versioned</x:v>
      </x:c>
      <x:c r="I40" s="726" t="str">
        <x:v>meaningful</x:v>
      </x:c>
      <x:c r="J40" s="726" t="str">
        <x:v>World-first structured delta, cause, cost and unchanged-facts presentation</x:v>
      </x:c>
      <x:c r="K40" s="726" t="str">
        <x:v>Not cleared; production-rights review required</x:v>
      </x:c>
      <x:c r="L40" s="726" t="str">
        <x:v>Art direction + rights</x:v>
      </x:c>
    </x:row>
    <x:row r="41" ht="70" customHeight="1">
      <x:c r="A41" s="727" t="str">
        <x:v>VIS-EVT-007</x:v>
      </x:c>
      <x:c r="B41" s="727" t="str">
        <x:v>Inflection emphasis plate</x:v>
      </x:c>
      <x:c r="C41" s="727" t="str">
        <x:v>event</x:v>
      </x:c>
      <x:c r="D41" s="759" t="str">
        <x:v>planned</x:v>
      </x:c>
      <x:c r="E41" s="727" t="str">
        <x:v>SCR-12</x:v>
      </x:c>
      <x:c r="F41" s="727" t="str">
        <x:v>SCN-14</x:v>
      </x:c>
      <x:c r="G41" s="727" t="str">
        <x:v>Raster consequence plate</x:v>
      </x:c>
      <x:c r="H41" s="727" t="str">
        <x:v>source-lock-versioned</x:v>
      </x:c>
      <x:c r="I41" s="727" t="str">
        <x:v>meaningful</x:v>
      </x:c>
      <x:c r="J41" s="727" t="str">
        <x:v>World-first structured delta, cause, cost and unchanged-facts presentation</x:v>
      </x:c>
      <x:c r="K41" s="727" t="str">
        <x:v>Not cleared; production-rights review required</x:v>
      </x:c>
      <x:c r="L41" s="727" t="str">
        <x:v>Art direction + rights</x:v>
      </x:c>
    </x:row>
    <x:row r="42" ht="70" customHeight="1">
      <x:c r="A42" s="726" t="str">
        <x:v>VIS-EVT-008</x:v>
      </x:c>
      <x:c r="B42" s="726" t="str">
        <x:v>Continuation/successor transition</x:v>
      </x:c>
      <x:c r="C42" s="726" t="str">
        <x:v>event</x:v>
      </x:c>
      <x:c r="D42" s="761" t="str">
        <x:v>blocked-event</x:v>
      </x:c>
      <x:c r="E42" s="726" t="str">
        <x:v>SCR-06, SCR-07, SCR-12</x:v>
      </x:c>
      <x:c r="F42" s="726" t="str">
        <x:v>SCN-12, SCN-14</x:v>
      </x:c>
      <x:c r="G42" s="726" t="str">
        <x:v>Raster consequence plate</x:v>
      </x:c>
      <x:c r="H42" s="726" t="str">
        <x:v>event-range-versioned</x:v>
      </x:c>
      <x:c r="I42" s="726" t="str">
        <x:v>meaningful</x:v>
      </x:c>
      <x:c r="J42" s="726" t="str">
        <x:v>World-first structured delta, cause, cost and unchanged-facts presentation</x:v>
      </x:c>
      <x:c r="K42" s="726" t="str">
        <x:v>Not cleared; production-rights review required</x:v>
      </x:c>
      <x:c r="L42" s="726" t="str">
        <x:v>Art direction + rights</x:v>
      </x:c>
    </x:row>
    <x:row r="43" ht="70" customHeight="1">
      <x:c r="A43" s="727" t="str">
        <x:v>VIS-COM-001</x:v>
      </x:c>
      <x:c r="B43" s="727" t="str">
        <x:v>Sequential Atlas Chronicle direction</x:v>
      </x:c>
      <x:c r="C43" s="727" t="str">
        <x:v>comic</x:v>
      </x:c>
      <x:c r="D43" s="763" t="str">
        <x:v>approved-reference</x:v>
      </x:c>
      <x:c r="E43" s="727" t="str">
        <x:v>SCR-12</x:v>
      </x:c>
      <x:c r="F43" s="727" t="str">
        <x:v>SCN-14, SCN-16</x:v>
      </x:c>
      <x:c r="G43" s="727" t="str">
        <x:v>Raster editorial/issue art</x:v>
      </x:c>
      <x:c r="H43" s="727" t="str">
        <x:v>illustrative-only</x:v>
      </x:c>
      <x:c r="I43" s="727" t="str">
        <x:v>meaningful</x:v>
      </x:c>
      <x:c r="J43" s="727" t="str">
        <x:v>Chronicle event list, transcript, captions and structured issue metadata</x:v>
      </x:c>
      <x:c r="K43" s="727" t="str">
        <x:v>Production-rights and Source Lock review required before shipping</x:v>
      </x:c>
      <x:c r="L43" s="727" t="str">
        <x:v>Media art + knowledge-ceiling reviewer</x:v>
      </x:c>
    </x:row>
    <x:row r="44" ht="70" customHeight="1">
      <x:c r="A44" s="726" t="str">
        <x:v>VIS-COM-002</x:v>
      </x:c>
      <x:c r="B44" s="726" t="str">
        <x:v>Chronicle event-group thumbnail</x:v>
      </x:c>
      <x:c r="C44" s="726" t="str">
        <x:v>comic</x:v>
      </x:c>
      <x:c r="D44" s="759" t="str">
        <x:v>planned</x:v>
      </x:c>
      <x:c r="E44" s="726" t="str">
        <x:v>SCR-12</x:v>
      </x:c>
      <x:c r="F44" s="726" t="str">
        <x:v>SCN-14, SCN-16</x:v>
      </x:c>
      <x:c r="G44" s="726" t="str">
        <x:v>Raster editorial/issue art</x:v>
      </x:c>
      <x:c r="H44" s="726" t="str">
        <x:v>source-lock-versioned</x:v>
      </x:c>
      <x:c r="I44" s="726" t="str">
        <x:v>meaningful</x:v>
      </x:c>
      <x:c r="J44" s="726" t="str">
        <x:v>Chronicle event list, transcript, captions and structured issue metadata</x:v>
      </x:c>
      <x:c r="K44" s="726" t="str">
        <x:v>Not cleared; production-rights review required</x:v>
      </x:c>
      <x:c r="L44" s="726" t="str">
        <x:v>Media art + knowledge-ceiling reviewer</x:v>
      </x:c>
    </x:row>
    <x:row r="45" ht="70" customHeight="1">
      <x:c r="A45" s="727" t="str">
        <x:v>VIS-COM-003</x:v>
      </x:c>
      <x:c r="B45" s="727" t="str">
        <x:v>Issue cover art</x:v>
      </x:c>
      <x:c r="C45" s="727" t="str">
        <x:v>comic</x:v>
      </x:c>
      <x:c r="D45" s="759" t="str">
        <x:v>planned</x:v>
      </x:c>
      <x:c r="E45" s="727" t="str">
        <x:v>SCR-01, SCR-12</x:v>
      </x:c>
      <x:c r="F45" s="727" t="str">
        <x:v>SCN-14, SCN-16</x:v>
      </x:c>
      <x:c r="G45" s="727" t="str">
        <x:v>Raster editorial/issue art</x:v>
      </x:c>
      <x:c r="H45" s="727" t="str">
        <x:v>edition-versioned</x:v>
      </x:c>
      <x:c r="I45" s="727" t="str">
        <x:v>meaningful</x:v>
      </x:c>
      <x:c r="J45" s="727" t="str">
        <x:v>Chronicle event list, transcript, captions and structured issue metadata</x:v>
      </x:c>
      <x:c r="K45" s="727" t="str">
        <x:v>Not cleared; production-rights review required</x:v>
      </x:c>
      <x:c r="L45" s="727" t="str">
        <x:v>Media art + knowledge-ceiling reviewer</x:v>
      </x:c>
    </x:row>
    <x:row r="46" ht="70" customHeight="1">
      <x:c r="A46" s="726" t="str">
        <x:v>VIS-COM-004</x:v>
      </x:c>
      <x:c r="B46" s="726" t="str">
        <x:v>Comic page/panel art</x:v>
      </x:c>
      <x:c r="C46" s="726" t="str">
        <x:v>comic</x:v>
      </x:c>
      <x:c r="D46" s="759" t="str">
        <x:v>planned</x:v>
      </x:c>
      <x:c r="E46" s="726" t="str">
        <x:v>SCR-12</x:v>
      </x:c>
      <x:c r="F46" s="726" t="str">
        <x:v>SCN-14</x:v>
      </x:c>
      <x:c r="G46" s="726" t="str">
        <x:v>Raster editorial/issue art</x:v>
      </x:c>
      <x:c r="H46" s="726" t="str">
        <x:v>edition-versioned</x:v>
      </x:c>
      <x:c r="I46" s="726" t="str">
        <x:v>meaningful</x:v>
      </x:c>
      <x:c r="J46" s="726" t="str">
        <x:v>Chronicle event list, transcript, captions and structured issue metadata</x:v>
      </x:c>
      <x:c r="K46" s="726" t="str">
        <x:v>Not cleared; production-rights review required</x:v>
      </x:c>
      <x:c r="L46" s="726" t="str">
        <x:v>Media art + knowledge-ceiling reviewer</x:v>
      </x:c>
    </x:row>
    <x:row r="47" ht="70" customHeight="1">
      <x:c r="A47" s="727" t="str">
        <x:v>VIS-COM-005</x:v>
      </x:c>
      <x:c r="B47" s="727" t="str">
        <x:v>Journey/time montage art</x:v>
      </x:c>
      <x:c r="C47" s="727" t="str">
        <x:v>comic</x:v>
      </x:c>
      <x:c r="D47" s="759" t="str">
        <x:v>planned</x:v>
      </x:c>
      <x:c r="E47" s="727" t="str">
        <x:v>SCR-10, SCR-12</x:v>
      </x:c>
      <x:c r="F47" s="727" t="str">
        <x:v>SCN-09, SCN-14</x:v>
      </x:c>
      <x:c r="G47" s="727" t="str">
        <x:v>Raster editorial/issue art</x:v>
      </x:c>
      <x:c r="H47" s="727" t="str">
        <x:v>source-lock-versioned</x:v>
      </x:c>
      <x:c r="I47" s="727" t="str">
        <x:v>meaningful</x:v>
      </x:c>
      <x:c r="J47" s="727" t="str">
        <x:v>Chronicle event list, transcript, captions and structured issue metadata</x:v>
      </x:c>
      <x:c r="K47" s="727" t="str">
        <x:v>Not cleared; production-rights review required</x:v>
      </x:c>
      <x:c r="L47" s="727" t="str">
        <x:v>Media art + knowledge-ceiling reviewer</x:v>
      </x:c>
    </x:row>
    <x:row r="48" ht="70" customHeight="1">
      <x:c r="A48" s="726" t="str">
        <x:v>VIS-COM-006</x:v>
      </x:c>
      <x:c r="B48" s="726" t="str">
        <x:v>Explicit WIP preview art</x:v>
      </x:c>
      <x:c r="C48" s="726" t="str">
        <x:v>comic</x:v>
      </x:c>
      <x:c r="D48" s="759" t="str">
        <x:v>planned</x:v>
      </x:c>
      <x:c r="E48" s="726" t="str">
        <x:v>SCR-12</x:v>
      </x:c>
      <x:c r="F48" s="726" t="str">
        <x:v>SCN-14</x:v>
      </x:c>
      <x:c r="G48" s="726" t="str">
        <x:v>Raster editorial/issue art</x:v>
      </x:c>
      <x:c r="H48" s="726" t="str">
        <x:v>wip-versioned</x:v>
      </x:c>
      <x:c r="I48" s="726" t="str">
        <x:v>meaningful</x:v>
      </x:c>
      <x:c r="J48" s="726" t="str">
        <x:v>Chronicle event list, transcript, captions and structured issue metadata</x:v>
      </x:c>
      <x:c r="K48" s="726" t="str">
        <x:v>Not cleared; production-rights review required</x:v>
      </x:c>
      <x:c r="L48" s="726" t="str">
        <x:v>Media art + knowledge-ceiling reviewer</x:v>
      </x:c>
    </x:row>
    <x:row r="49" ht="70" customHeight="1">
      <x:c r="A49" s="727" t="str">
        <x:v>VIS-COM-007</x:v>
      </x:c>
      <x:c r="B49" s="727" t="str">
        <x:v>Published-edition thumbnail</x:v>
      </x:c>
      <x:c r="C49" s="727" t="str">
        <x:v>comic</x:v>
      </x:c>
      <x:c r="D49" s="759" t="str">
        <x:v>planned</x:v>
      </x:c>
      <x:c r="E49" s="727" t="str">
        <x:v>SCR-12</x:v>
      </x:c>
      <x:c r="F49" s="727" t="str">
        <x:v>SCN-14, SCN-16</x:v>
      </x:c>
      <x:c r="G49" s="727" t="str">
        <x:v>Raster editorial/issue art</x:v>
      </x:c>
      <x:c r="H49" s="727" t="str">
        <x:v>immutable-edition</x:v>
      </x:c>
      <x:c r="I49" s="727" t="str">
        <x:v>meaningful</x:v>
      </x:c>
      <x:c r="J49" s="727" t="str">
        <x:v>Chronicle event list, transcript, captions and structured issue metadata</x:v>
      </x:c>
      <x:c r="K49" s="727" t="str">
        <x:v>Not cleared; production-rights review required</x:v>
      </x:c>
      <x:c r="L49" s="727" t="str">
        <x:v>Media art + knowledge-ceiling reviewer</x:v>
      </x:c>
    </x:row>
    <x:row r="50" ht="70" customHeight="1">
      <x:c r="A50" s="726" t="str">
        <x:v>VIS-COM-008</x:v>
      </x:c>
      <x:c r="B50" s="726" t="str">
        <x:v>Corrected-edition thumbnail</x:v>
      </x:c>
      <x:c r="C50" s="726" t="str">
        <x:v>comic</x:v>
      </x:c>
      <x:c r="D50" s="759" t="str">
        <x:v>planned</x:v>
      </x:c>
      <x:c r="E50" s="726" t="str">
        <x:v>SCR-12</x:v>
      </x:c>
      <x:c r="F50" s="726" t="str">
        <x:v>SCN-14, SCN-16</x:v>
      </x:c>
      <x:c r="G50" s="726" t="str">
        <x:v>Raster editorial/issue art</x:v>
      </x:c>
      <x:c r="H50" s="726" t="str">
        <x:v>new-immutable-edition</x:v>
      </x:c>
      <x:c r="I50" s="726" t="str">
        <x:v>meaningful</x:v>
      </x:c>
      <x:c r="J50" s="726" t="str">
        <x:v>Chronicle event list, transcript, captions and structured issue metadata</x:v>
      </x:c>
      <x:c r="K50" s="726" t="str">
        <x:v>Not cleared; production-rights review required</x:v>
      </x:c>
      <x:c r="L50" s="726" t="str">
        <x:v>Media art + knowledge-ceiling reviewer</x:v>
      </x:c>
    </x:row>
    <x:row r="51" ht="70" customHeight="1">
      <x:c r="A51" s="727" t="str">
        <x:v>VIS-MAP-001</x:v>
      </x:c>
      <x:c r="B51" s="727" t="str">
        <x:v>Chart-paper sea texture</x:v>
      </x:c>
      <x:c r="C51" s="727" t="str">
        <x:v>map_texture</x:v>
      </x:c>
      <x:c r="D51" s="759" t="str">
        <x:v>planned</x:v>
      </x:c>
      <x:c r="E51" s="727" t="str">
        <x:v>SCR-10</x:v>
      </x:c>
      <x:c r="F51" s="727" t="str">
        <x:v>SCN-09, SCN-13</x:v>
      </x:c>
      <x:c r="G51" s="727" t="str">
        <x:v>Decorative raster texture beneath semantic SVG/HTML map geometry</x:v>
      </x:c>
      <x:c r="H51" s="727" t="str">
        <x:v>decorative-only</x:v>
      </x:c>
      <x:c r="I51" s="727" t="str">
        <x:v>decorative</x:v>
      </x:c>
      <x:c r="J51" s="727" t="str">
        <x:v>Solid Paper/Stage surface; all map knowledge remains in SVG/HTML and an accessible table</x:v>
      </x:c>
      <x:c r="K51" s="727" t="str">
        <x:v>Not cleared; production-rights review required</x:v>
      </x:c>
      <x:c r="L51" s="727" t="str">
        <x:v>Art direction + rights</x:v>
      </x:c>
    </x:row>
    <x:row r="52" ht="70" customHeight="1">
      <x:c r="A52" s="726" t="str">
        <x:v>VIS-MAP-002</x:v>
      </x:c>
      <x:c r="B52" s="726" t="str">
        <x:v>Jurisdiction wash texture</x:v>
      </x:c>
      <x:c r="C52" s="726" t="str">
        <x:v>map_texture</x:v>
      </x:c>
      <x:c r="D52" s="759" t="str">
        <x:v>planned</x:v>
      </x:c>
      <x:c r="E52" s="726" t="str">
        <x:v>SCR-10, SCR-11</x:v>
      </x:c>
      <x:c r="F52" s="726" t="str">
        <x:v>SCN-09, SCN-10</x:v>
      </x:c>
      <x:c r="G52" s="726" t="str">
        <x:v>Decorative raster texture beneath semantic SVG/HTML map geometry</x:v>
      </x:c>
      <x:c r="H52" s="726" t="str">
        <x:v>decorative-only</x:v>
      </x:c>
      <x:c r="I52" s="726" t="str">
        <x:v>decorative</x:v>
      </x:c>
      <x:c r="J52" s="726" t="str">
        <x:v>Solid Paper/Stage surface; all map knowledge remains in SVG/HTML and an accessible table</x:v>
      </x:c>
      <x:c r="K52" s="726" t="str">
        <x:v>Not cleared; production-rights review required</x:v>
      </x:c>
      <x:c r="L52" s="726" t="str">
        <x:v>Art direction + rights</x:v>
      </x:c>
    </x:row>
    <x:row r="53" ht="70" customHeight="1">
      <x:c r="A53" s="727" t="str">
        <x:v>VIS-MAP-003</x:v>
      </x:c>
      <x:c r="B53" s="727" t="str">
        <x:v>Hazard hatch texture</x:v>
      </x:c>
      <x:c r="C53" s="727" t="str">
        <x:v>map_texture</x:v>
      </x:c>
      <x:c r="D53" s="759" t="str">
        <x:v>planned</x:v>
      </x:c>
      <x:c r="E53" s="727" t="str">
        <x:v>SCR-06, SCR-10</x:v>
      </x:c>
      <x:c r="F53" s="727" t="str">
        <x:v>SCN-06, SCN-09</x:v>
      </x:c>
      <x:c r="G53" s="727" t="str">
        <x:v>Decorative raster texture beneath semantic SVG/HTML map geometry</x:v>
      </x:c>
      <x:c r="H53" s="727" t="str">
        <x:v>decorative-only</x:v>
      </x:c>
      <x:c r="I53" s="727" t="str">
        <x:v>decorative</x:v>
      </x:c>
      <x:c r="J53" s="727" t="str">
        <x:v>Solid Paper/Stage surface; all map knowledge remains in SVG/HTML and an accessible table</x:v>
      </x:c>
      <x:c r="K53" s="727" t="str">
        <x:v>Not cleared; production-rights review required</x:v>
      </x:c>
      <x:c r="L53" s="727" t="str">
        <x:v>Art direction + rights</x:v>
      </x:c>
    </x:row>
    <x:row r="54" ht="70" customHeight="1">
      <x:c r="A54" s="726" t="str">
        <x:v>VIS-MAP-004</x:v>
      </x:c>
      <x:c r="B54" s="726" t="str">
        <x:v>Realm-threshold atmosphere</x:v>
      </x:c>
      <x:c r="C54" s="726" t="str">
        <x:v>map_texture</x:v>
      </x:c>
      <x:c r="D54" s="759" t="str">
        <x:v>planned</x:v>
      </x:c>
      <x:c r="E54" s="726" t="str">
        <x:v>SCR-10</x:v>
      </x:c>
      <x:c r="F54" s="726" t="str">
        <x:v>SCN-09</x:v>
      </x:c>
      <x:c r="G54" s="726" t="str">
        <x:v>Decorative raster texture beneath semantic SVG/HTML map geometry</x:v>
      </x:c>
      <x:c r="H54" s="726" t="str">
        <x:v>decorative-only</x:v>
      </x:c>
      <x:c r="I54" s="726" t="str">
        <x:v>decorative</x:v>
      </x:c>
      <x:c r="J54" s="726" t="str">
        <x:v>Solid Paper/Stage surface; all map knowledge remains in SVG/HTML and an accessible table</x:v>
      </x:c>
      <x:c r="K54" s="726" t="str">
        <x:v>Not cleared; production-rights review required</x:v>
      </x:c>
      <x:c r="L54" s="726" t="str">
        <x:v>Art direction + rights</x:v>
      </x:c>
    </x:row>
    <x:row r="55" ht="70" customHeight="1">
      <x:c r="A55" s="727" t="str">
        <x:v>VIS-BRD-001</x:v>
      </x:c>
      <x:c r="B55" s="727" t="str">
        <x:v>Product sharing-card art</x:v>
      </x:c>
      <x:c r="C55" s="727" t="str">
        <x:v>brand</x:v>
      </x:c>
      <x:c r="D55" s="763" t="str">
        <x:v>approved-direction</x:v>
      </x:c>
      <x:c r="E55" s="727" t="str">
        <x:v>SCR-01</x:v>
      </x:c>
      <x:c r="F55" s="727" t="str">
        <x:v>SCN-01</x:v>
      </x:c>
      <x:c r="G55" s="727" t="str">
        <x:v>Raster campaign/issue/product presentation art</x:v>
      </x:c>
      <x:c r="H55" s="727" t="str">
        <x:v>product-scope</x:v>
      </x:c>
      <x:c r="I55" s="727" t="str">
        <x:v>meaningful</x:v>
      </x:c>
      <x:c r="J55" s="727" t="str">
        <x:v>Code-native product/campaign title block</x:v>
      </x:c>
      <x:c r="K55" s="727" t="str">
        <x:v>Not cleared; production-rights review required</x:v>
      </x:c>
      <x:c r="L55" s="727" t="str">
        <x:v>Art direction + rights</x:v>
      </x:c>
    </x:row>
    <x:row r="56" ht="70" customHeight="1">
      <x:c r="A56" s="726" t="str">
        <x:v>VIS-BRD-002</x:v>
      </x:c>
      <x:c r="B56" s="726" t="str">
        <x:v>Campaign cover background</x:v>
      </x:c>
      <x:c r="C56" s="726" t="str">
        <x:v>brand</x:v>
      </x:c>
      <x:c r="D56" s="759" t="str">
        <x:v>planned</x:v>
      </x:c>
      <x:c r="E56" s="726" t="str">
        <x:v>SCR-01</x:v>
      </x:c>
      <x:c r="F56" s="726" t="str">
        <x:v>SCN-01, SCN-13</x:v>
      </x:c>
      <x:c r="G56" s="726" t="str">
        <x:v>Raster campaign/issue/product presentation art</x:v>
      </x:c>
      <x:c r="H56" s="726" t="str">
        <x:v>campaign-versioned</x:v>
      </x:c>
      <x:c r="I56" s="726" t="str">
        <x:v>meaningful</x:v>
      </x:c>
      <x:c r="J56" s="726" t="str">
        <x:v>Code-native product/campaign title block</x:v>
      </x:c>
      <x:c r="K56" s="726" t="str">
        <x:v>Not cleared; production-rights review required</x:v>
      </x:c>
      <x:c r="L56" s="726" t="str">
        <x:v>Art direction + rights</x:v>
      </x:c>
    </x:row>
    <x:row r="57" ht="70" customHeight="1">
      <x:c r="A57" s="727" t="str">
        <x:v>VIS-BRD-003</x:v>
      </x:c>
      <x:c r="B57" s="727" t="str">
        <x:v>Issue cover background</x:v>
      </x:c>
      <x:c r="C57" s="727" t="str">
        <x:v>brand</x:v>
      </x:c>
      <x:c r="D57" s="759" t="str">
        <x:v>planned</x:v>
      </x:c>
      <x:c r="E57" s="727" t="str">
        <x:v>SCR-02, SCR-12</x:v>
      </x:c>
      <x:c r="F57" s="727" t="str">
        <x:v>SCN-01, SCN-14</x:v>
      </x:c>
      <x:c r="G57" s="727" t="str">
        <x:v>Raster campaign/issue/product presentation art</x:v>
      </x:c>
      <x:c r="H57" s="727" t="str">
        <x:v>edition-versioned</x:v>
      </x:c>
      <x:c r="I57" s="727" t="str">
        <x:v>meaningful</x:v>
      </x:c>
      <x:c r="J57" s="727" t="str">
        <x:v>Code-native product/campaign title block</x:v>
      </x:c>
      <x:c r="K57" s="727" t="str">
        <x:v>Not cleared; production-rights review required</x:v>
      </x:c>
      <x:c r="L57" s="727" t="str">
        <x:v>Art direction + rights</x:v>
      </x:c>
    </x:row>
    <x:row r="58" ht="70" customHeight="1">
      <x:c r="A58" s="726" t="str">
        <x:v>VIS-BRD-004</x:v>
      </x:c>
      <x:c r="B58" s="726" t="str">
        <x:v>Library collection background</x:v>
      </x:c>
      <x:c r="C58" s="726" t="str">
        <x:v>brand</x:v>
      </x:c>
      <x:c r="D58" s="759" t="str">
        <x:v>planned</x:v>
      </x:c>
      <x:c r="E58" s="726" t="str">
        <x:v>SCR-01, SCR-12</x:v>
      </x:c>
      <x:c r="F58" s="726" t="str">
        <x:v>SCN-13, SCN-14</x:v>
      </x:c>
      <x:c r="G58" s="726" t="str">
        <x:v>Raster campaign/issue/product presentation art</x:v>
      </x:c>
      <x:c r="H58" s="726" t="str">
        <x:v>product-scope</x:v>
      </x:c>
      <x:c r="I58" s="726" t="str">
        <x:v>meaningful</x:v>
      </x:c>
      <x:c r="J58" s="726" t="str">
        <x:v>Code-native product/campaign title block</x:v>
      </x:c>
      <x:c r="K58" s="726" t="str">
        <x:v>Not cleared; production-rights review required</x:v>
      </x:c>
      <x:c r="L58" s="726" t="str">
        <x:v>Art direction + rights</x:v>
      </x:c>
    </x:row>
    <x:row r="59" ht="70" customHeight="1">
      <x:c r="A59" s="727" t="str">
        <x:v>VIS-FBK-001</x:v>
      </x:c>
      <x:c r="B59" s="727" t="str">
        <x:v>Decorative media placeholder</x:v>
      </x:c>
      <x:c r="C59" s="727" t="str">
        <x:v>fallback</x:v>
      </x:c>
      <x:c r="D59" s="763" t="str">
        <x:v>code-native</x:v>
      </x:c>
      <x:c r="E59" s="727" t="str">
        <x:v>SCR-01, SCR-04, SCR-12</x:v>
      </x:c>
      <x:c r="F59" s="727" t="str">
        <x:v>SCN-01, SCN-14, SCN-16</x:v>
      </x:c>
      <x:c r="G59" s="727" t="str">
        <x:v>Code-native SVG/CSS semantic illustration</x:v>
      </x:c>
      <x:c r="H59" s="727" t="str">
        <x:v>noncanonical-code-native</x:v>
      </x:c>
      <x:c r="I59" s="727" t="str">
        <x:v>decorative</x:v>
      </x:c>
      <x:c r="J59" s="727" t="str">
        <x:v>Text itself remains sufficient</x:v>
      </x:c>
      <x:c r="K59" s="727" t="str">
        <x:v>Project-authored code; repository license governs</x:v>
      </x:c>
      <x:c r="L59" s="727" t="str">
        <x:v>Art direction + rights</x:v>
      </x:c>
    </x:row>
    <x:row r="60" ht="70" customHeight="1">
      <x:c r="A60" s="726" t="str">
        <x:v>VIS-FBK-002</x:v>
      </x:c>
      <x:c r="B60" s="726" t="str">
        <x:v>Meaningful media unavailable state</x:v>
      </x:c>
      <x:c r="C60" s="726" t="str">
        <x:v>fallback</x:v>
      </x:c>
      <x:c r="D60" s="763" t="str">
        <x:v>code-native</x:v>
      </x:c>
      <x:c r="E60" s="726" t="str">
        <x:v>SCR-04, SCR-12</x:v>
      </x:c>
      <x:c r="F60" s="726" t="str">
        <x:v>SCN-01, SCN-14, SCN-16</x:v>
      </x:c>
      <x:c r="G60" s="726" t="str">
        <x:v>Code-native SVG/CSS semantic illustration</x:v>
      </x:c>
      <x:c r="H60" s="726" t="str">
        <x:v>noncanonical-code-native</x:v>
      </x:c>
      <x:c r="I60" s="726" t="str">
        <x:v>meaningful</x:v>
      </x:c>
      <x:c r="J60" s="726" t="str">
        <x:v>Text itself remains sufficient</x:v>
      </x:c>
      <x:c r="K60" s="726" t="str">
        <x:v>Project-authored code; repository license governs</x:v>
      </x:c>
      <x:c r="L60" s="726" t="str">
        <x:v>Art direction + rights</x:v>
      </x:c>
    </x:row>
    <x:row r="61" ht="70" customHeight="1">
      <x:c r="A61" s="727" t="str">
        <x:v>VIS-FBK-003</x:v>
      </x:c>
      <x:c r="B61" s="727" t="str">
        <x:v>Blocked generation state</x:v>
      </x:c>
      <x:c r="C61" s="727" t="str">
        <x:v>fallback</x:v>
      </x:c>
      <x:c r="D61" s="763" t="str">
        <x:v>code-native</x:v>
      </x:c>
      <x:c r="E61" s="727" t="str">
        <x:v>SCR-12, SCR-13</x:v>
      </x:c>
      <x:c r="F61" s="727" t="str">
        <x:v>SCN-14, SCN-16</x:v>
      </x:c>
      <x:c r="G61" s="727" t="str">
        <x:v>Code-native SVG/CSS semantic illustration</x:v>
      </x:c>
      <x:c r="H61" s="727" t="str">
        <x:v>noncanonical-code-native</x:v>
      </x:c>
      <x:c r="I61" s="727" t="str">
        <x:v>meaningful</x:v>
      </x:c>
      <x:c r="J61" s="727" t="str">
        <x:v>Text itself remains sufficient</x:v>
      </x:c>
      <x:c r="K61" s="727" t="str">
        <x:v>Project-authored code; repository license governs</x:v>
      </x:c>
      <x:c r="L61" s="727" t="str">
        <x:v>Art direction + rights</x:v>
      </x:c>
    </x:row>
    <x:row r="62" ht="70" customHeight="1">
      <x:c r="A62" s="726" t="str">
        <x:v>VIS-FBK-004</x:v>
      </x:c>
      <x:c r="B62" s="726" t="str">
        <x:v>Reduced-data asset substitute</x:v>
      </x:c>
      <x:c r="C62" s="726" t="str">
        <x:v>fallback</x:v>
      </x:c>
      <x:c r="D62" s="763" t="str">
        <x:v>code-native</x:v>
      </x:c>
      <x:c r="E62" s="726" t="str">
        <x:v>SCR-04, SCR-10, SCR-12</x:v>
      </x:c>
      <x:c r="F62" s="726" t="str">
        <x:v>SCN-09, SCN-14, SCN-16</x:v>
      </x:c>
      <x:c r="G62" s="726" t="str">
        <x:v>Code-native SVG/CSS semantic illustration</x:v>
      </x:c>
      <x:c r="H62" s="726" t="str">
        <x:v>noncanonical-code-native</x:v>
      </x:c>
      <x:c r="I62" s="726" t="str">
        <x:v>meaningful</x:v>
      </x:c>
      <x:c r="J62" s="726" t="str">
        <x:v>Text itself remains sufficient</x:v>
      </x:c>
      <x:c r="K62" s="726" t="str">
        <x:v>Project-authored code; repository license governs</x:v>
      </x:c>
      <x:c r="L62" s="726" t="str">
        <x:v>Art direction + rights</x:v>
      </x:c>
    </x:row>
    <x:row r="63" ht="70" customHeight="1">
      <x:c r="A63" s="727" t="str">
        <x:v>VIS-FBK-005</x:v>
      </x:c>
      <x:c r="B63" s="727" t="str">
        <x:v>Localization-safe crop failure state</x:v>
      </x:c>
      <x:c r="C63" s="727" t="str">
        <x:v>fallback</x:v>
      </x:c>
      <x:c r="D63" s="763" t="str">
        <x:v>code-native</x:v>
      </x:c>
      <x:c r="E63" s="727" t="str">
        <x:v>SCR-01, SCR-12, SCR-14</x:v>
      </x:c>
      <x:c r="F63" s="727" t="str">
        <x:v>SCN-14, SCN-16</x:v>
      </x:c>
      <x:c r="G63" s="727" t="str">
        <x:v>Code-native SVG/CSS semantic illustration</x:v>
      </x:c>
      <x:c r="H63" s="727" t="str">
        <x:v>noncanonical-code-native</x:v>
      </x:c>
      <x:c r="I63" s="727" t="str">
        <x:v>meaningful</x:v>
      </x:c>
      <x:c r="J63" s="727" t="str">
        <x:v>Text itself remains sufficient</x:v>
      </x:c>
      <x:c r="K63" s="727" t="str">
        <x:v>Project-authored code; repository license governs</x:v>
      </x:c>
      <x:c r="L63" s="727" t="str">
        <x:v>Art direction + rights</x:v>
      </x:c>
    </x:row>
    <x:row r="64" ht="70" customHeight="1">
      <x:c r="A64" s="728" t="str">
        <x:v>VIS-FBK-006</x:v>
      </x:c>
      <x:c r="B64" s="728" t="str">
        <x:v>QA-rejected/provider-unavailable state</x:v>
      </x:c>
      <x:c r="C64" s="728" t="str">
        <x:v>fallback</x:v>
      </x:c>
      <x:c r="D64" s="765" t="str">
        <x:v>code-native</x:v>
      </x:c>
      <x:c r="E64" s="728" t="str">
        <x:v>SCR-12, SCR-13</x:v>
      </x:c>
      <x:c r="F64" s="728" t="str">
        <x:v>SCN-14, SCN-16</x:v>
      </x:c>
      <x:c r="G64" s="728" t="str">
        <x:v>Code-native SVG/CSS semantic illustration</x:v>
      </x:c>
      <x:c r="H64" s="728" t="str">
        <x:v>noncanonical-code-native</x:v>
      </x:c>
      <x:c r="I64" s="728" t="str">
        <x:v>meaningful</x:v>
      </x:c>
      <x:c r="J64" s="728" t="str">
        <x:v>Text itself remains sufficient</x:v>
      </x:c>
      <x:c r="K64" s="728" t="str">
        <x:v>Project-authored code; repository license governs</x:v>
      </x:c>
      <x:c r="L64" s="728" t="str">
        <x:v>Art direction + rights</x:v>
      </x:c>
    </x:row>
  </x:sheetData>
  <x:mergeCells>
    <x:mergeCell ref="A1:L1"/>
    <x:mergeCell ref="A2:L2"/>
  </x:mergeCells>
  <x:pageMargins left="0.7" right="0.7" top="0.75" bottom="0.75" header="0.3" footer="0.3"/>
  <x:tableParts count="1">
    <x:tablePart xmlns:r="http://schemas.openxmlformats.org/officeDocument/2006/relationships" r:id="R5e2ab273a6f64953"/>
  </x:tableParts>
</x:worksheet>
</file>

<file path=xl/worksheets/sheet37.xml><?xml version="1.0" encoding="utf-8"?>
<x:worksheet xmlns:x="http://schemas.openxmlformats.org/spreadsheetml/2006/main">
  <x:sheetViews>
    <x:sheetView showGridLines="0" workbookViewId="0"/>
  </x:sheetViews>
  <x:sheetFormatPr defaultRowHeight="15"/>
  <x:cols>
    <x:col min="1" max="1" width="15" hidden="0" customWidth="1"/>
    <x:col min="2" max="2" width="35" hidden="0" customWidth="1"/>
    <x:col min="3" max="3" width="21" hidden="0" customWidth="1"/>
    <x:col min="4" max="4" width="42" hidden="0" customWidth="1"/>
    <x:col min="5" max="5" width="20" hidden="0" customWidth="1"/>
    <x:col min="6" max="6" width="36" hidden="0" customWidth="1"/>
    <x:col min="7" max="7" width="48" hidden="0" customWidth="1"/>
    <x:col min="8" max="8" width="36" hidden="0" customWidth="1"/>
    <x:col min="9" max="9" width="55" hidden="0" customWidth="1"/>
    <x:col min="10" max="10" width="38" hidden="0" customWidth="1"/>
  </x:cols>
  <x:sheetData>
    <x:row r="1">
      <x:c r="A1" s="679" t="str">
        <x:v>UI-03 • CONTROLLED VISUAL-DIRECTION REFERENCES</x:v>
      </x:c>
      <x:c r="B1" s="679" t="str">
        <x:v>UI-03 • CONTROLLED VISUAL-DIRECTION REFERENCES</x:v>
      </x:c>
      <x:c r="C1" s="679" t="str">
        <x:v>UI-03 • CONTROLLED VISUAL-DIRECTION REFERENCES</x:v>
      </x:c>
      <x:c r="D1" s="679" t="str">
        <x:v>UI-03 • CONTROLLED VISUAL-DIRECTION REFERENCES</x:v>
      </x:c>
      <x:c r="E1" s="679" t="str">
        <x:v>UI-03 • CONTROLLED VISUAL-DIRECTION REFERENCES</x:v>
      </x:c>
      <x:c r="F1" s="679" t="str">
        <x:v>UI-03 • CONTROLLED VISUAL-DIRECTION REFERENCES</x:v>
      </x:c>
      <x:c r="G1" s="679" t="str">
        <x:v>UI-03 • CONTROLLED VISUAL-DIRECTION REFERENCES</x:v>
      </x:c>
      <x:c r="H1" s="679" t="str">
        <x:v>UI-03 • CONTROLLED VISUAL-DIRECTION REFERENCES</x:v>
      </x:c>
      <x:c r="I1" s="679" t="str">
        <x:v>UI-03 • CONTROLLED VISUAL-DIRECTION REFERENCES</x:v>
      </x:c>
      <x:c r="J1" s="679" t="str">
        <x:v>UI-03 • CONTROLLED VISUAL-DIRECTION REFERENCES</x:v>
      </x:c>
    </x:row>
    <x:row r="2">
      <x:c r="A2" s="683" t="str">
        <x:v>Approved direction is not automatic campaign canon or production shipping clearance; hashes and lineage identify the exact evidence files</x:v>
      </x:c>
      <x:c r="B2" s="683" t="str">
        <x:v>Approved direction is not automatic campaign canon or production shipping clearance; hashes and lineage identify the exact evidence files</x:v>
      </x:c>
      <x:c r="C2" s="683" t="str">
        <x:v>Approved direction is not automatic campaign canon or production shipping clearance; hashes and lineage identify the exact evidence files</x:v>
      </x:c>
      <x:c r="D2" s="683" t="str">
        <x:v>Approved direction is not automatic campaign canon or production shipping clearance; hashes and lineage identify the exact evidence files</x:v>
      </x:c>
      <x:c r="E2" s="683" t="str">
        <x:v>Approved direction is not automatic campaign canon or production shipping clearance; hashes and lineage identify the exact evidence files</x:v>
      </x:c>
      <x:c r="F2" s="683" t="str">
        <x:v>Approved direction is not automatic campaign canon or production shipping clearance; hashes and lineage identify the exact evidence files</x:v>
      </x:c>
      <x:c r="G2" s="683" t="str">
        <x:v>Approved direction is not automatic campaign canon or production shipping clearance; hashes and lineage identify the exact evidence files</x:v>
      </x:c>
      <x:c r="H2" s="683" t="str">
        <x:v>Approved direction is not automatic campaign canon or production shipping clearance; hashes and lineage identify the exact evidence files</x:v>
      </x:c>
      <x:c r="I2" s="683" t="str">
        <x:v>Approved direction is not automatic campaign canon or production shipping clearance; hashes and lineage identify the exact evidence files</x:v>
      </x:c>
      <x:c r="J2" s="683" t="str">
        <x:v>Approved direction is not automatic campaign canon or production shipping clearance; hashes and lineage identify the exact evidence files</x:v>
      </x:c>
    </x:row>
    <x:row r="4">
      <x:c r="A4" s="723" t="str">
        <x:v>Asset ID</x:v>
      </x:c>
      <x:c r="B4" s="724" t="str">
        <x:v>Title</x:v>
      </x:c>
      <x:c r="C4" s="724" t="str">
        <x:v>Status</x:v>
      </x:c>
      <x:c r="D4" s="724" t="str">
        <x:v>File</x:v>
      </x:c>
      <x:c r="E4" s="724" t="str">
        <x:v>Dimensions</x:v>
      </x:c>
      <x:c r="F4" s="724" t="str">
        <x:v>Source</x:v>
      </x:c>
      <x:c r="G4" s="724" t="str">
        <x:v>Canon boundary</x:v>
      </x:c>
      <x:c r="H4" s="724" t="str">
        <x:v>Rights status</x:v>
      </x:c>
      <x:c r="I4" s="724" t="str">
        <x:v>Alt text</x:v>
      </x:c>
      <x:c r="J4" s="725" t="str">
        <x:v>SHA-256</x:v>
      </x:c>
    </x:row>
    <x:row r="5" ht="92" customHeight="1">
      <x:c r="A5" s="703" t="str">
        <x:v>VIS-AMB-001</x:v>
      </x:c>
      <x:c r="B5" s="703" t="str">
        <x:v>BREAKWATER King Tide environment direction</x:v>
      </x:c>
      <x:c r="C5" s="758" t="str">
        <x:v>approved-reference</x:v>
      </x:c>
      <x:c r="D5" s="703" t="str">
        <x:v>reference-assets/VIS-AMB-001_breakwater-king-tide.png</x:v>
      </x:c>
      <x:c r="E5" s="703" t="str">
        <x:v>1672×941 RGB</x:v>
      </x:c>
      <x:c r="F5" s="703" t="str">
        <x:v>Built-in image generation</x:v>
      </x:c>
      <x:c r="G5" s="703" t="str">
        <x:v>Illustrative-only BREAKWATER fixture; no hidden route, actor, event, item or exact map truth</x:v>
      </x:c>
      <x:c r="H5" s="703" t="str">
        <x:v>Production-rights review required before shipping</x:v>
      </x:c>
      <x:c r="I5" s="703" t="str">
        <x:v>Storm tide flooding an industrial harbor berth at blue hour, with cranes, rail and civic flood infrastructure.</x:v>
      </x:c>
      <x:c r="J5" s="703" t="str">
        <x:v>adadb47c940d7a1e4c06be2a161d129a597832a353c31b54ea8dac632be94a6e</x:v>
      </x:c>
    </x:row>
    <x:row r="6" ht="92" customHeight="1">
      <x:c r="A6" s="726" t="str">
        <x:v>VIS-ENT-005</x:v>
      </x:c>
      <x:c r="B6" s="726" t="str">
        <x:v>Buoy Nine entity direction</x:v>
      </x:c>
      <x:c r="C6" s="763" t="str">
        <x:v>approved-reference</x:v>
      </x:c>
      <x:c r="D6" s="726" t="str">
        <x:v>reference-assets/VIS-ENT-005_buoy-nine-direction.png</x:v>
      </x:c>
      <x:c r="E6" s="726" t="str">
        <x:v>1024×1536 RGBA</x:v>
      </x:c>
      <x:c r="F6" s="726" t="str">
        <x:v>Built-in image generation</x:v>
      </x:c>
      <x:c r="G6" s="726" t="str">
        <x:v>Approved municipal-buoy silhouette/material direction; incidental wear, solar panel and lantern details remain noncanonical</x:v>
      </x:c>
      <x:c r="H6" s="726" t="str">
        <x:v>Production-rights review required before shipping</x:v>
      </x:c>
      <x:c r="I6" s="726" t="str">
        <x:v>A weathered fluorescent-orange municipal navigation buoy shown as a substantial harbor object.</x:v>
      </x:c>
      <x:c r="J6" s="726" t="str">
        <x:v>890750b1e34d88f20e39592c2abb744c5214911a44105397fc37f6742daba747</x:v>
      </x:c>
    </x:row>
    <x:row r="7" ht="92" customHeight="1">
      <x:c r="A7" s="727" t="str">
        <x:v>VIS-EVT-002</x:v>
      </x:c>
      <x:c r="B7" s="727" t="str">
        <x:v>West Gate mixed-outcome direction</x:v>
      </x:c>
      <x:c r="C7" s="763" t="str">
        <x:v>approved-reference</x:v>
      </x:c>
      <x:c r="D7" s="727" t="str">
        <x:v>reference-assets/VIS-EVT-002_west-gate-mixed-outcome.png</x:v>
      </x:c>
      <x:c r="E7" s="727" t="str">
        <x:v>1672×941 RGB</x:v>
      </x:c>
      <x:c r="F7" s="727" t="str">
        <x:v>Built-in image generation from approved environment reference</x:v>
      </x:c>
      <x:c r="G7" s="727" t="str">
        <x:v>Illustrative event state; visible fixture deltas only and never an actual campaign receipt</x:v>
      </x:c>
      <x:c r="H7" s="727" t="str">
        <x:v>Production-rights review required before shipping</x:v>
      </x:c>
      <x:c r="I7" s="727" t="str">
        <x:v>The storm-flooded harbor after a cable pull partially raises the west tide gate, diverting water while the winch housing bends under strain.</x:v>
      </x:c>
      <x:c r="J7" s="727" t="str">
        <x:v>90b6f0674b74e01465b348aa90b59a1824ed446830f54d467f6cdfd9b0517cac</x:v>
      </x:c>
    </x:row>
    <x:row r="8" ht="92" customHeight="1">
      <x:c r="A8" s="726" t="str">
        <x:v>VIS-OBJ-005</x:v>
      </x:c>
      <x:c r="B8" s="726" t="str">
        <x:v>Grounded civic action-object direction</x:v>
      </x:c>
      <x:c r="C8" s="763" t="str">
        <x:v>approved-reference</x:v>
      </x:c>
      <x:c r="D8" s="726" t="str">
        <x:v>reference-assets/VIS-OBJ-005_civic-action-objects.png</x:v>
      </x:c>
      <x:c r="E8" s="726" t="str">
        <x:v>1254×1254 RGBA</x:v>
      </x:c>
      <x:c r="F8" s="726" t="str">
        <x:v>Built-in image generation</x:v>
      </x:c>
      <x:c r="G8" s="726" t="str">
        <x:v>Illustrative object candidates; existence, custody, condition and location remain live world-record claims</x:v>
      </x:c>
      <x:c r="H8" s="726" t="str">
        <x:v>Production-rights review required before shipping</x:v>
      </x:c>
      <x:c r="I8" s="726" t="str">
        <x:v>A cable spool, winch hook and tension block, hydraulic jack, and battered ceremonial harbor cannon isolated on a transparent background.</x:v>
      </x:c>
      <x:c r="J8" s="726" t="str">
        <x:v>996637dd737a33115d1d4a590c255a1b76ee9ef988e12b5b3063d7fabbc97ba1</x:v>
      </x:c>
    </x:row>
    <x:row r="9" ht="92" customHeight="1">
      <x:c r="A9" s="735" t="str">
        <x:v>VIS-COM-001</x:v>
      </x:c>
      <x:c r="B9" s="735" t="str">
        <x:v>Sequential Atlas Chronicle direction</x:v>
      </x:c>
      <x:c r="C9" s="765" t="str">
        <x:v>approved-reference</x:v>
      </x:c>
      <x:c r="D9" s="735" t="str">
        <x:v>reference-assets/VIS-COM-001_sequential-atlas-reference.png</x:v>
      </x:c>
      <x:c r="E9" s="735" t="str">
        <x:v>1672×941 RGB</x:v>
      </x:c>
      <x:c r="F9" s="735" t="str">
        <x:v>Built-in image generation using three approved local references</x:v>
      </x:c>
      <x:c r="G9" s="735" t="str">
        <x:v>Illustrative-only editorial adaptation; not Source Locked, published or canonical</x:v>
      </x:c>
      <x:c r="H9" s="735" t="str">
        <x:v>Production-rights and Source Lock review required before shipping</x:v>
      </x:c>
      <x:c r="I9" s="735" t="str">
        <x:v>Three editorial image fields show the storm-flooded berth, Buoy Nine as a civic witness, and the partly opened tide gate after a mixed outcome.</x:v>
      </x:c>
      <x:c r="J9" s="735" t="str">
        <x:v>8235a3b176684e6b4064ae825fec5a508b2184aa623f4c160a4831b5a5a95d51</x:v>
      </x:c>
    </x:row>
  </x:sheetData>
  <x:mergeCells>
    <x:mergeCell ref="A1:J1"/>
    <x:mergeCell ref="A2:J2"/>
  </x:mergeCells>
  <x:pageMargins left="0.7" right="0.7" top="0.75" bottom="0.75" header="0.3" footer="0.3"/>
  <x:tableParts count="1">
    <x:tablePart xmlns:r="http://schemas.openxmlformats.org/officeDocument/2006/relationships" r:id="R1fae76bf0b95407b"/>
  </x:tableParts>
</x:worksheet>
</file>

<file path=xl/worksheets/sheet38.xml><?xml version="1.0" encoding="utf-8"?>
<x:worksheet xmlns:x="http://schemas.openxmlformats.org/spreadsheetml/2006/main">
  <x:sheetViews>
    <x:sheetView showGridLines="0" workbookViewId="0"/>
  </x:sheetViews>
  <x:sheetFormatPr defaultRowHeight="15"/>
  <x:cols>
    <x:col min="1" max="1" width="13" hidden="0" customWidth="1"/>
    <x:col min="2" max="2" width="24" hidden="0" customWidth="1"/>
    <x:col min="3" max="3" width="16" hidden="0" customWidth="1"/>
    <x:col min="4" max="4" width="28" hidden="0" customWidth="1"/>
    <x:col min="5" max="5" width="13" hidden="0" customWidth="1"/>
    <x:col min="6" max="6" width="11" hidden="0" customWidth="1"/>
    <x:col min="7" max="7" width="12" hidden="0" customWidth="1"/>
    <x:col min="8" max="8" width="60" hidden="0" customWidth="1"/>
    <x:col min="9" max="9" width="23" hidden="0" customWidth="1"/>
  </x:cols>
  <x:sheetData>
    <x:row r="1">
      <x:c r="A1" s="679" t="str">
        <x:v>UI-03 • 49 CODE-NATIVE SVG ICONS</x:v>
      </x:c>
      <x:c r="B1" s="679" t="str">
        <x:v>UI-03 • 49 CODE-NATIVE SVG ICONS</x:v>
      </x:c>
      <x:c r="C1" s="679" t="str">
        <x:v>UI-03 • 49 CODE-NATIVE SVG ICONS</x:v>
      </x:c>
      <x:c r="D1" s="679" t="str">
        <x:v>UI-03 • 49 CODE-NATIVE SVG ICONS</x:v>
      </x:c>
      <x:c r="E1" s="679" t="str">
        <x:v>UI-03 • 49 CODE-NATIVE SVG ICONS</x:v>
      </x:c>
      <x:c r="F1" s="679" t="str">
        <x:v>UI-03 • 49 CODE-NATIVE SVG ICONS</x:v>
      </x:c>
      <x:c r="G1" s="679" t="str">
        <x:v>UI-03 • 49 CODE-NATIVE SVG ICONS</x:v>
      </x:c>
      <x:c r="H1" s="679" t="str">
        <x:v>UI-03 • 49 CODE-NATIVE SVG ICONS</x:v>
      </x:c>
      <x:c r="I1" s="679" t="str">
        <x:v>UI-03 • 49 CODE-NATIVE SVG ICONS</x:v>
      </x:c>
    </x:row>
    <x:row r="2">
      <x:c r="A2" s="683" t="str">
        <x:v>24×24 • 1.75px stroke • currentColor • text-free symbols • visible label required at first use • icon-only controls need localized accessible names</x:v>
      </x:c>
      <x:c r="B2" s="683" t="str">
        <x:v>24×24 • 1.75px stroke • currentColor • text-free symbols • visible label required at first use • icon-only controls need localized accessible names</x:v>
      </x:c>
      <x:c r="C2" s="683" t="str">
        <x:v>24×24 • 1.75px stroke • currentColor • text-free symbols • visible label required at first use • icon-only controls need localized accessible names</x:v>
      </x:c>
      <x:c r="D2" s="683" t="str">
        <x:v>24×24 • 1.75px stroke • currentColor • text-free symbols • visible label required at first use • icon-only controls need localized accessible names</x:v>
      </x:c>
      <x:c r="E2" s="683" t="str">
        <x:v>24×24 • 1.75px stroke • currentColor • text-free symbols • visible label required at first use • icon-only controls need localized accessible names</x:v>
      </x:c>
      <x:c r="F2" s="683" t="str">
        <x:v>24×24 • 1.75px stroke • currentColor • text-free symbols • visible label required at first use • icon-only controls need localized accessible names</x:v>
      </x:c>
      <x:c r="G2" s="683" t="str">
        <x:v>24×24 • 1.75px stroke • currentColor • text-free symbols • visible label required at first use • icon-only controls need localized accessible names</x:v>
      </x:c>
      <x:c r="H2" s="683" t="str">
        <x:v>24×24 • 1.75px stroke • currentColor • text-free symbols • visible label required at first use • icon-only controls need localized accessible names</x:v>
      </x:c>
      <x:c r="I2" s="683" t="str">
        <x:v>24×24 • 1.75px stroke • currentColor • text-free symbols • visible label required at first use • icon-only controls need localized accessible names</x:v>
      </x:c>
    </x:row>
    <x:row r="4">
      <x:c r="A4" s="723" t="str">
        <x:v>Icon ID</x:v>
      </x:c>
      <x:c r="B4" s="724" t="str">
        <x:v>Name</x:v>
      </x:c>
      <x:c r="C4" s="724" t="str">
        <x:v>Category</x:v>
      </x:c>
      <x:c r="D4" s="724" t="str">
        <x:v>Symbol ID</x:v>
      </x:c>
      <x:c r="E4" s="724" t="str">
        <x:v>Canvas</x:v>
      </x:c>
      <x:c r="F4" s="724" t="str">
        <x:v>Stroke</x:v>
      </x:c>
      <x:c r="G4" s="724" t="str">
        <x:v>Join</x:v>
      </x:c>
      <x:c r="H4" s="724" t="str">
        <x:v>Accessibility</x:v>
      </x:c>
      <x:c r="I4" s="725" t="str">
        <x:v>Status</x:v>
      </x:c>
    </x:row>
    <x:row r="5" ht="58" customHeight="1">
      <x:c r="A5" s="703" t="str">
        <x:v>ICN-01</x:v>
      </x:c>
      <x:c r="B5" s="703" t="str">
        <x:v>Stage</x:v>
      </x:c>
      <x:c r="C5" s="703" t="str">
        <x:v>destination</x:v>
      </x:c>
      <x:c r="D5" s="703" t="str">
        <x:v>mythic-stage</x:v>
      </x:c>
      <x:c r="E5" s="703" t="str">
        <x:v>24×24</x:v>
      </x:c>
      <x:c r="F5" s="703" t="n">
        <x:v>1.75</x:v>
      </x:c>
      <x:c r="G5" s="703" t="str">
        <x:v>round</x:v>
      </x:c>
      <x:c r="H5" s="703" t="str">
        <x:v>SVG is aria-hidden when adjacent to text; icon-only control requires an explicit localized accessible name.</x:v>
      </x:c>
      <x:c r="I5" s="758" t="str">
        <x:v>approved-code-native</x:v>
      </x:c>
    </x:row>
    <x:row r="6" ht="58" customHeight="1">
      <x:c r="A6" s="726" t="str">
        <x:v>ICN-02</x:v>
      </x:c>
      <x:c r="B6" s="726" t="str">
        <x:v>Character</x:v>
      </x:c>
      <x:c r="C6" s="726" t="str">
        <x:v>destination</x:v>
      </x:c>
      <x:c r="D6" s="726" t="str">
        <x:v>mythic-character</x:v>
      </x:c>
      <x:c r="E6" s="726" t="str">
        <x:v>24×24</x:v>
      </x:c>
      <x:c r="F6" s="726" t="n">
        <x:v>1.75</x:v>
      </x:c>
      <x:c r="G6" s="726" t="str">
        <x:v>round</x:v>
      </x:c>
      <x:c r="H6" s="726" t="str">
        <x:v>SVG is aria-hidden when adjacent to text; icon-only control requires an explicit localized accessible name.</x:v>
      </x:c>
      <x:c r="I6" s="763" t="str">
        <x:v>approved-code-native</x:v>
      </x:c>
    </x:row>
    <x:row r="7" ht="58" customHeight="1">
      <x:c r="A7" s="727" t="str">
        <x:v>ICN-03</x:v>
      </x:c>
      <x:c r="B7" s="727" t="str">
        <x:v>Company</x:v>
      </x:c>
      <x:c r="C7" s="727" t="str">
        <x:v>destination</x:v>
      </x:c>
      <x:c r="D7" s="727" t="str">
        <x:v>mythic-company</x:v>
      </x:c>
      <x:c r="E7" s="727" t="str">
        <x:v>24×24</x:v>
      </x:c>
      <x:c r="F7" s="727" t="n">
        <x:v>1.75</x:v>
      </x:c>
      <x:c r="G7" s="727" t="str">
        <x:v>round</x:v>
      </x:c>
      <x:c r="H7" s="727" t="str">
        <x:v>SVG is aria-hidden when adjacent to text; icon-only control requires an explicit localized accessible name.</x:v>
      </x:c>
      <x:c r="I7" s="763" t="str">
        <x:v>approved-code-native</x:v>
      </x:c>
    </x:row>
    <x:row r="8" ht="58" customHeight="1">
      <x:c r="A8" s="726" t="str">
        <x:v>ICN-04</x:v>
      </x:c>
      <x:c r="B8" s="726" t="str">
        <x:v>Holdings</x:v>
      </x:c>
      <x:c r="C8" s="726" t="str">
        <x:v>destination</x:v>
      </x:c>
      <x:c r="D8" s="726" t="str">
        <x:v>mythic-holdings</x:v>
      </x:c>
      <x:c r="E8" s="726" t="str">
        <x:v>24×24</x:v>
      </x:c>
      <x:c r="F8" s="726" t="n">
        <x:v>1.75</x:v>
      </x:c>
      <x:c r="G8" s="726" t="str">
        <x:v>square</x:v>
      </x:c>
      <x:c r="H8" s="726" t="str">
        <x:v>SVG is aria-hidden when adjacent to text; icon-only control requires an explicit localized accessible name.</x:v>
      </x:c>
      <x:c r="I8" s="763" t="str">
        <x:v>approved-code-native</x:v>
      </x:c>
    </x:row>
    <x:row r="9" ht="58" customHeight="1">
      <x:c r="A9" s="727" t="str">
        <x:v>ICN-05</x:v>
      </x:c>
      <x:c r="B9" s="727" t="str">
        <x:v>World</x:v>
      </x:c>
      <x:c r="C9" s="727" t="str">
        <x:v>destination</x:v>
      </x:c>
      <x:c r="D9" s="727" t="str">
        <x:v>mythic-world</x:v>
      </x:c>
      <x:c r="E9" s="727" t="str">
        <x:v>24×24</x:v>
      </x:c>
      <x:c r="F9" s="727" t="n">
        <x:v>1.75</x:v>
      </x:c>
      <x:c r="G9" s="727" t="str">
        <x:v>round</x:v>
      </x:c>
      <x:c r="H9" s="727" t="str">
        <x:v>SVG is aria-hidden when adjacent to text; icon-only control requires an explicit localized accessible name.</x:v>
      </x:c>
      <x:c r="I9" s="763" t="str">
        <x:v>approved-code-native</x:v>
      </x:c>
    </x:row>
    <x:row r="10" ht="58" customHeight="1">
      <x:c r="A10" s="726" t="str">
        <x:v>ICN-06</x:v>
      </x:c>
      <x:c r="B10" s="726" t="str">
        <x:v>Chronicle</x:v>
      </x:c>
      <x:c r="C10" s="726" t="str">
        <x:v>destination</x:v>
      </x:c>
      <x:c r="D10" s="726" t="str">
        <x:v>mythic-chronicle</x:v>
      </x:c>
      <x:c r="E10" s="726" t="str">
        <x:v>24×24</x:v>
      </x:c>
      <x:c r="F10" s="726" t="n">
        <x:v>1.75</x:v>
      </x:c>
      <x:c r="G10" s="726" t="str">
        <x:v>square</x:v>
      </x:c>
      <x:c r="H10" s="726" t="str">
        <x:v>SVG is aria-hidden when adjacent to text; icon-only control requires an explicit localized accessible name.</x:v>
      </x:c>
      <x:c r="I10" s="763" t="str">
        <x:v>approved-code-native</x:v>
      </x:c>
    </x:row>
    <x:row r="11" ht="58" customHeight="1">
      <x:c r="A11" s="727" t="str">
        <x:v>ICN-07</x:v>
      </x:c>
      <x:c r="B11" s="727" t="str">
        <x:v>Perceived</x:v>
      </x:c>
      <x:c r="C11" s="727" t="str">
        <x:v>knowledge</x:v>
      </x:c>
      <x:c r="D11" s="727" t="str">
        <x:v>mythic-perceived</x:v>
      </x:c>
      <x:c r="E11" s="727" t="str">
        <x:v>24×24</x:v>
      </x:c>
      <x:c r="F11" s="727" t="n">
        <x:v>1.75</x:v>
      </x:c>
      <x:c r="G11" s="727" t="str">
        <x:v>round</x:v>
      </x:c>
      <x:c r="H11" s="727" t="str">
        <x:v>SVG is aria-hidden when adjacent to text; icon-only control requires an explicit localized accessible name.</x:v>
      </x:c>
      <x:c r="I11" s="763" t="str">
        <x:v>approved-code-native</x:v>
      </x:c>
    </x:row>
    <x:row r="12" ht="58" customHeight="1">
      <x:c r="A12" s="726" t="str">
        <x:v>ICN-08</x:v>
      </x:c>
      <x:c r="B12" s="726" t="str">
        <x:v>Recorded</x:v>
      </x:c>
      <x:c r="C12" s="726" t="str">
        <x:v>knowledge</x:v>
      </x:c>
      <x:c r="D12" s="726" t="str">
        <x:v>mythic-recorded</x:v>
      </x:c>
      <x:c r="E12" s="726" t="str">
        <x:v>24×24</x:v>
      </x:c>
      <x:c r="F12" s="726" t="n">
        <x:v>1.75</x:v>
      </x:c>
      <x:c r="G12" s="726" t="str">
        <x:v>square</x:v>
      </x:c>
      <x:c r="H12" s="726" t="str">
        <x:v>SVG is aria-hidden when adjacent to text; icon-only control requires an explicit localized accessible name.</x:v>
      </x:c>
      <x:c r="I12" s="763" t="str">
        <x:v>approved-code-native</x:v>
      </x:c>
    </x:row>
    <x:row r="13" ht="58" customHeight="1">
      <x:c r="A13" s="727" t="str">
        <x:v>ICN-09</x:v>
      </x:c>
      <x:c r="B13" s="727" t="str">
        <x:v>Reported</x:v>
      </x:c>
      <x:c r="C13" s="727" t="str">
        <x:v>knowledge</x:v>
      </x:c>
      <x:c r="D13" s="727" t="str">
        <x:v>mythic-reported</x:v>
      </x:c>
      <x:c r="E13" s="727" t="str">
        <x:v>24×24</x:v>
      </x:c>
      <x:c r="F13" s="727" t="n">
        <x:v>1.75</x:v>
      </x:c>
      <x:c r="G13" s="727" t="str">
        <x:v>round</x:v>
      </x:c>
      <x:c r="H13" s="727" t="str">
        <x:v>SVG is aria-hidden when adjacent to text; icon-only control requires an explicit localized accessible name.</x:v>
      </x:c>
      <x:c r="I13" s="763" t="str">
        <x:v>approved-code-native</x:v>
      </x:c>
    </x:row>
    <x:row r="14" ht="58" customHeight="1">
      <x:c r="A14" s="726" t="str">
        <x:v>ICN-10</x:v>
      </x:c>
      <x:c r="B14" s="726" t="str">
        <x:v>Inferred</x:v>
      </x:c>
      <x:c r="C14" s="726" t="str">
        <x:v>knowledge</x:v>
      </x:c>
      <x:c r="D14" s="726" t="str">
        <x:v>mythic-inferred</x:v>
      </x:c>
      <x:c r="E14" s="726" t="str">
        <x:v>24×24</x:v>
      </x:c>
      <x:c r="F14" s="726" t="n">
        <x:v>1.75</x:v>
      </x:c>
      <x:c r="G14" s="726" t="str">
        <x:v>round</x:v>
      </x:c>
      <x:c r="H14" s="726" t="str">
        <x:v>SVG is aria-hidden when adjacent to text; icon-only control requires an explicit localized accessible name.</x:v>
      </x:c>
      <x:c r="I14" s="763" t="str">
        <x:v>approved-code-native</x:v>
      </x:c>
    </x:row>
    <x:row r="15" ht="58" customHeight="1">
      <x:c r="A15" s="727" t="str">
        <x:v>ICN-11</x:v>
      </x:c>
      <x:c r="B15" s="727" t="str">
        <x:v>Forecast</x:v>
      </x:c>
      <x:c r="C15" s="727" t="str">
        <x:v>knowledge</x:v>
      </x:c>
      <x:c r="D15" s="727" t="str">
        <x:v>mythic-forecast</x:v>
      </x:c>
      <x:c r="E15" s="727" t="str">
        <x:v>24×24</x:v>
      </x:c>
      <x:c r="F15" s="727" t="n">
        <x:v>1.75</x:v>
      </x:c>
      <x:c r="G15" s="727" t="str">
        <x:v>round</x:v>
      </x:c>
      <x:c r="H15" s="727" t="str">
        <x:v>SVG is aria-hidden when adjacent to text; icon-only control requires an explicit localized accessible name.</x:v>
      </x:c>
      <x:c r="I15" s="763" t="str">
        <x:v>approved-code-native</x:v>
      </x:c>
    </x:row>
    <x:row r="16" ht="58" customHeight="1">
      <x:c r="A16" s="726" t="str">
        <x:v>ICN-12</x:v>
      </x:c>
      <x:c r="B16" s="726" t="str">
        <x:v>Disputed</x:v>
      </x:c>
      <x:c r="C16" s="726" t="str">
        <x:v>knowledge</x:v>
      </x:c>
      <x:c r="D16" s="726" t="str">
        <x:v>mythic-disputed</x:v>
      </x:c>
      <x:c r="E16" s="726" t="str">
        <x:v>24×24</x:v>
      </x:c>
      <x:c r="F16" s="726" t="n">
        <x:v>1.75</x:v>
      </x:c>
      <x:c r="G16" s="726" t="str">
        <x:v>square</x:v>
      </x:c>
      <x:c r="H16" s="726" t="str">
        <x:v>SVG is aria-hidden when adjacent to text; icon-only control requires an explicit localized accessible name.</x:v>
      </x:c>
      <x:c r="I16" s="763" t="str">
        <x:v>approved-code-native</x:v>
      </x:c>
    </x:row>
    <x:row r="17" ht="58" customHeight="1">
      <x:c r="A17" s="727" t="str">
        <x:v>ICN-13</x:v>
      </x:c>
      <x:c r="B17" s="727" t="str">
        <x:v>Last known</x:v>
      </x:c>
      <x:c r="C17" s="727" t="str">
        <x:v>knowledge</x:v>
      </x:c>
      <x:c r="D17" s="727" t="str">
        <x:v>mythic-last-known</x:v>
      </x:c>
      <x:c r="E17" s="727" t="str">
        <x:v>24×24</x:v>
      </x:c>
      <x:c r="F17" s="727" t="n">
        <x:v>1.75</x:v>
      </x:c>
      <x:c r="G17" s="727" t="str">
        <x:v>round</x:v>
      </x:c>
      <x:c r="H17" s="727" t="str">
        <x:v>SVG is aria-hidden when adjacent to text; icon-only control requires an explicit localized accessible name.</x:v>
      </x:c>
      <x:c r="I17" s="763" t="str">
        <x:v>approved-code-native</x:v>
      </x:c>
    </x:row>
    <x:row r="18" ht="58" customHeight="1">
      <x:c r="A18" s="726" t="str">
        <x:v>ICN-14</x:v>
      </x:c>
      <x:c r="B18" s="726" t="str">
        <x:v>Out of character</x:v>
      </x:c>
      <x:c r="C18" s="726" t="str">
        <x:v>knowledge</x:v>
      </x:c>
      <x:c r="D18" s="726" t="str">
        <x:v>mythic-out-of-character</x:v>
      </x:c>
      <x:c r="E18" s="726" t="str">
        <x:v>24×24</x:v>
      </x:c>
      <x:c r="F18" s="726" t="n">
        <x:v>1.75</x:v>
      </x:c>
      <x:c r="G18" s="726" t="str">
        <x:v>square</x:v>
      </x:c>
      <x:c r="H18" s="726" t="str">
        <x:v>SVG is aria-hidden when adjacent to text; icon-only control requires an explicit localized accessible name.</x:v>
      </x:c>
      <x:c r="I18" s="763" t="str">
        <x:v>approved-code-native</x:v>
      </x:c>
    </x:row>
    <x:row r="19" ht="58" customHeight="1">
      <x:c r="A19" s="727" t="str">
        <x:v>ICN-15</x:v>
      </x:c>
      <x:c r="B19" s="727" t="str">
        <x:v>Ownership</x:v>
      </x:c>
      <x:c r="C19" s="727" t="str">
        <x:v>rights</x:v>
      </x:c>
      <x:c r="D19" s="727" t="str">
        <x:v>mythic-ownership</x:v>
      </x:c>
      <x:c r="E19" s="727" t="str">
        <x:v>24×24</x:v>
      </x:c>
      <x:c r="F19" s="727" t="n">
        <x:v>1.75</x:v>
      </x:c>
      <x:c r="G19" s="727" t="str">
        <x:v>square</x:v>
      </x:c>
      <x:c r="H19" s="727" t="str">
        <x:v>SVG is aria-hidden when adjacent to text; icon-only control requires an explicit localized accessible name.</x:v>
      </x:c>
      <x:c r="I19" s="763" t="str">
        <x:v>approved-code-native</x:v>
      </x:c>
    </x:row>
    <x:row r="20" ht="58" customHeight="1">
      <x:c r="A20" s="726" t="str">
        <x:v>ICN-16</x:v>
      </x:c>
      <x:c r="B20" s="726" t="str">
        <x:v>Custody</x:v>
      </x:c>
      <x:c r="C20" s="726" t="str">
        <x:v>rights</x:v>
      </x:c>
      <x:c r="D20" s="726" t="str">
        <x:v>mythic-custody</x:v>
      </x:c>
      <x:c r="E20" s="726" t="str">
        <x:v>24×24</x:v>
      </x:c>
      <x:c r="F20" s="726" t="n">
        <x:v>1.75</x:v>
      </x:c>
      <x:c r="G20" s="726" t="str">
        <x:v>square</x:v>
      </x:c>
      <x:c r="H20" s="726" t="str">
        <x:v>SVG is aria-hidden when adjacent to text; icon-only control requires an explicit localized accessible name.</x:v>
      </x:c>
      <x:c r="I20" s="763" t="str">
        <x:v>approved-code-native</x:v>
      </x:c>
    </x:row>
    <x:row r="21" ht="58" customHeight="1">
      <x:c r="A21" s="727" t="str">
        <x:v>ICN-17</x:v>
      </x:c>
      <x:c r="B21" s="727" t="str">
        <x:v>Access</x:v>
      </x:c>
      <x:c r="C21" s="727" t="str">
        <x:v>rights</x:v>
      </x:c>
      <x:c r="D21" s="727" t="str">
        <x:v>mythic-access</x:v>
      </x:c>
      <x:c r="E21" s="727" t="str">
        <x:v>24×24</x:v>
      </x:c>
      <x:c r="F21" s="727" t="n">
        <x:v>1.75</x:v>
      </x:c>
      <x:c r="G21" s="727" t="str">
        <x:v>round</x:v>
      </x:c>
      <x:c r="H21" s="727" t="str">
        <x:v>SVG is aria-hidden when adjacent to text; icon-only control requires an explicit localized accessible name.</x:v>
      </x:c>
      <x:c r="I21" s="763" t="str">
        <x:v>approved-code-native</x:v>
      </x:c>
    </x:row>
    <x:row r="22" ht="58" customHeight="1">
      <x:c r="A22" s="726" t="str">
        <x:v>ICN-18</x:v>
      </x:c>
      <x:c r="B22" s="726" t="str">
        <x:v>Attunement</x:v>
      </x:c>
      <x:c r="C22" s="726" t="str">
        <x:v>rights</x:v>
      </x:c>
      <x:c r="D22" s="726" t="str">
        <x:v>mythic-attunement</x:v>
      </x:c>
      <x:c r="E22" s="726" t="str">
        <x:v>24×24</x:v>
      </x:c>
      <x:c r="F22" s="726" t="n">
        <x:v>1.75</x:v>
      </x:c>
      <x:c r="G22" s="726" t="str">
        <x:v>round</x:v>
      </x:c>
      <x:c r="H22" s="726" t="str">
        <x:v>SVG is aria-hidden when adjacent to text; icon-only control requires an explicit localized accessible name.</x:v>
      </x:c>
      <x:c r="I22" s="763" t="str">
        <x:v>approved-code-native</x:v>
      </x:c>
    </x:row>
    <x:row r="23" ht="58" customHeight="1">
      <x:c r="A23" s="727" t="str">
        <x:v>ICN-19</x:v>
      </x:c>
      <x:c r="B23" s="727" t="str">
        <x:v>Bond</x:v>
      </x:c>
      <x:c r="C23" s="727" t="str">
        <x:v>rights</x:v>
      </x:c>
      <x:c r="D23" s="727" t="str">
        <x:v>mythic-bond</x:v>
      </x:c>
      <x:c r="E23" s="727" t="str">
        <x:v>24×24</x:v>
      </x:c>
      <x:c r="F23" s="727" t="n">
        <x:v>1.75</x:v>
      </x:c>
      <x:c r="G23" s="727" t="str">
        <x:v>round</x:v>
      </x:c>
      <x:c r="H23" s="727" t="str">
        <x:v>SVG is aria-hidden when adjacent to text; icon-only control requires an explicit localized accessible name.</x:v>
      </x:c>
      <x:c r="I23" s="763" t="str">
        <x:v>approved-code-native</x:v>
      </x:c>
    </x:row>
    <x:row r="24" ht="58" customHeight="1">
      <x:c r="A24" s="726" t="str">
        <x:v>ICN-20</x:v>
      </x:c>
      <x:c r="B24" s="726" t="str">
        <x:v>Claim</x:v>
      </x:c>
      <x:c r="C24" s="726" t="str">
        <x:v>rights</x:v>
      </x:c>
      <x:c r="D24" s="726" t="str">
        <x:v>mythic-claim</x:v>
      </x:c>
      <x:c r="E24" s="726" t="str">
        <x:v>24×24</x:v>
      </x:c>
      <x:c r="F24" s="726" t="n">
        <x:v>1.75</x:v>
      </x:c>
      <x:c r="G24" s="726" t="str">
        <x:v>square</x:v>
      </x:c>
      <x:c r="H24" s="726" t="str">
        <x:v>SVG is aria-hidden when adjacent to text; icon-only control requires an explicit localized accessible name.</x:v>
      </x:c>
      <x:c r="I24" s="763" t="str">
        <x:v>approved-code-native</x:v>
      </x:c>
    </x:row>
    <x:row r="25" ht="58" customHeight="1">
      <x:c r="A25" s="727" t="str">
        <x:v>ICN-21</x:v>
      </x:c>
      <x:c r="B25" s="727" t="str">
        <x:v>Evidence</x:v>
      </x:c>
      <x:c r="C25" s="727" t="str">
        <x:v>pressure</x:v>
      </x:c>
      <x:c r="D25" s="727" t="str">
        <x:v>mythic-evidence</x:v>
      </x:c>
      <x:c r="E25" s="727" t="str">
        <x:v>24×24</x:v>
      </x:c>
      <x:c r="F25" s="727" t="n">
        <x:v>1.75</x:v>
      </x:c>
      <x:c r="G25" s="727" t="str">
        <x:v>square</x:v>
      </x:c>
      <x:c r="H25" s="727" t="str">
        <x:v>SVG is aria-hidden when adjacent to text; icon-only control requires an explicit localized accessible name.</x:v>
      </x:c>
      <x:c r="I25" s="763" t="str">
        <x:v>approved-code-native</x:v>
      </x:c>
    </x:row>
    <x:row r="26" ht="58" customHeight="1">
      <x:c r="A26" s="726" t="str">
        <x:v>ICN-22</x:v>
      </x:c>
      <x:c r="B26" s="726" t="str">
        <x:v>Heat</x:v>
      </x:c>
      <x:c r="C26" s="726" t="str">
        <x:v>pressure</x:v>
      </x:c>
      <x:c r="D26" s="726" t="str">
        <x:v>mythic-heat</x:v>
      </x:c>
      <x:c r="E26" s="726" t="str">
        <x:v>24×24</x:v>
      </x:c>
      <x:c r="F26" s="726" t="n">
        <x:v>1.75</x:v>
      </x:c>
      <x:c r="G26" s="726" t="str">
        <x:v>round</x:v>
      </x:c>
      <x:c r="H26" s="726" t="str">
        <x:v>SVG is aria-hidden when adjacent to text; icon-only control requires an explicit localized accessible name.</x:v>
      </x:c>
      <x:c r="I26" s="763" t="str">
        <x:v>approved-code-native</x:v>
      </x:c>
    </x:row>
    <x:row r="27" ht="58" customHeight="1">
      <x:c r="A27" s="727" t="str">
        <x:v>ICN-23</x:v>
      </x:c>
      <x:c r="B27" s="727" t="str">
        <x:v>Exposure</x:v>
      </x:c>
      <x:c r="C27" s="727" t="str">
        <x:v>pressure</x:v>
      </x:c>
      <x:c r="D27" s="727" t="str">
        <x:v>mythic-exposure</x:v>
      </x:c>
      <x:c r="E27" s="727" t="str">
        <x:v>24×24</x:v>
      </x:c>
      <x:c r="F27" s="727" t="n">
        <x:v>1.75</x:v>
      </x:c>
      <x:c r="G27" s="727" t="str">
        <x:v>square</x:v>
      </x:c>
      <x:c r="H27" s="727" t="str">
        <x:v>SVG is aria-hidden when adjacent to text; icon-only control requires an explicit localized accessible name.</x:v>
      </x:c>
      <x:c r="I27" s="763" t="str">
        <x:v>approved-code-native</x:v>
      </x:c>
    </x:row>
    <x:row r="28" ht="58" customHeight="1">
      <x:c r="A28" s="726" t="str">
        <x:v>ICN-24</x:v>
      </x:c>
      <x:c r="B28" s="726" t="str">
        <x:v>Reputation</x:v>
      </x:c>
      <x:c r="C28" s="726" t="str">
        <x:v>pressure</x:v>
      </x:c>
      <x:c r="D28" s="726" t="str">
        <x:v>mythic-reputation</x:v>
      </x:c>
      <x:c r="E28" s="726" t="str">
        <x:v>24×24</x:v>
      </x:c>
      <x:c r="F28" s="726" t="n">
        <x:v>1.75</x:v>
      </x:c>
      <x:c r="G28" s="726" t="str">
        <x:v>round</x:v>
      </x:c>
      <x:c r="H28" s="726" t="str">
        <x:v>SVG is aria-hidden when adjacent to text; icon-only control requires an explicit localized accessible name.</x:v>
      </x:c>
      <x:c r="I28" s="763" t="str">
        <x:v>approved-code-native</x:v>
      </x:c>
    </x:row>
    <x:row r="29" ht="58" customHeight="1">
      <x:c r="A29" s="727" t="str">
        <x:v>ICN-25</x:v>
      </x:c>
      <x:c r="B29" s="727" t="str">
        <x:v>Jurisdiction</x:v>
      </x:c>
      <x:c r="C29" s="727" t="str">
        <x:v>pressure</x:v>
      </x:c>
      <x:c r="D29" s="727" t="str">
        <x:v>mythic-jurisdiction</x:v>
      </x:c>
      <x:c r="E29" s="727" t="str">
        <x:v>24×24</x:v>
      </x:c>
      <x:c r="F29" s="727" t="n">
        <x:v>1.75</x:v>
      </x:c>
      <x:c r="G29" s="727" t="str">
        <x:v>square</x:v>
      </x:c>
      <x:c r="H29" s="727" t="str">
        <x:v>SVG is aria-hidden when adjacent to text; icon-only control requires an explicit localized accessible name.</x:v>
      </x:c>
      <x:c r="I29" s="763" t="str">
        <x:v>approved-code-native</x:v>
      </x:c>
    </x:row>
    <x:row r="30" ht="58" customHeight="1">
      <x:c r="A30" s="726" t="str">
        <x:v>ICN-26</x:v>
      </x:c>
      <x:c r="B30" s="726" t="str">
        <x:v>Wound</x:v>
      </x:c>
      <x:c r="C30" s="726" t="str">
        <x:v>harm</x:v>
      </x:c>
      <x:c r="D30" s="726" t="str">
        <x:v>mythic-wound</x:v>
      </x:c>
      <x:c r="E30" s="726" t="str">
        <x:v>24×24</x:v>
      </x:c>
      <x:c r="F30" s="726" t="n">
        <x:v>1.75</x:v>
      </x:c>
      <x:c r="G30" s="726" t="str">
        <x:v>round</x:v>
      </x:c>
      <x:c r="H30" s="726" t="str">
        <x:v>SVG is aria-hidden when adjacent to text; icon-only control requires an explicit localized accessible name.</x:v>
      </x:c>
      <x:c r="I30" s="763" t="str">
        <x:v>approved-code-native</x:v>
      </x:c>
    </x:row>
    <x:row r="31" ht="58" customHeight="1">
      <x:c r="A31" s="727" t="str">
        <x:v>ICN-27</x:v>
      </x:c>
      <x:c r="B31" s="727" t="str">
        <x:v>Condition</x:v>
      </x:c>
      <x:c r="C31" s="727" t="str">
        <x:v>harm</x:v>
      </x:c>
      <x:c r="D31" s="727" t="str">
        <x:v>mythic-condition</x:v>
      </x:c>
      <x:c r="E31" s="727" t="str">
        <x:v>24×24</x:v>
      </x:c>
      <x:c r="F31" s="727" t="n">
        <x:v>1.75</x:v>
      </x:c>
      <x:c r="G31" s="727" t="str">
        <x:v>square</x:v>
      </x:c>
      <x:c r="H31" s="727" t="str">
        <x:v>SVG is aria-hidden when adjacent to text; icon-only control requires an explicit localized accessible name.</x:v>
      </x:c>
      <x:c r="I31" s="763" t="str">
        <x:v>approved-code-native</x:v>
      </x:c>
    </x:row>
    <x:row r="32" ht="58" customHeight="1">
      <x:c r="A32" s="726" t="str">
        <x:v>ICN-28</x:v>
      </x:c>
      <x:c r="B32" s="726" t="str">
        <x:v>Hazard</x:v>
      </x:c>
      <x:c r="C32" s="726" t="str">
        <x:v>harm</x:v>
      </x:c>
      <x:c r="D32" s="726" t="str">
        <x:v>mythic-hazard</x:v>
      </x:c>
      <x:c r="E32" s="726" t="str">
        <x:v>24×24</x:v>
      </x:c>
      <x:c r="F32" s="726" t="n">
        <x:v>1.75</x:v>
      </x:c>
      <x:c r="G32" s="726" t="str">
        <x:v>square</x:v>
      </x:c>
      <x:c r="H32" s="726" t="str">
        <x:v>SVG is aria-hidden when adjacent to text; icon-only control requires an explicit localized accessible name.</x:v>
      </x:c>
      <x:c r="I32" s="763" t="str">
        <x:v>approved-code-native</x:v>
      </x:c>
    </x:row>
    <x:row r="33" ht="58" customHeight="1">
      <x:c r="A33" s="727" t="str">
        <x:v>ICN-29</x:v>
      </x:c>
      <x:c r="B33" s="727" t="str">
        <x:v>Dying</x:v>
      </x:c>
      <x:c r="C33" s="727" t="str">
        <x:v>harm</x:v>
      </x:c>
      <x:c r="D33" s="727" t="str">
        <x:v>mythic-dying</x:v>
      </x:c>
      <x:c r="E33" s="727" t="str">
        <x:v>24×24</x:v>
      </x:c>
      <x:c r="F33" s="727" t="n">
        <x:v>1.75</x:v>
      </x:c>
      <x:c r="G33" s="727" t="str">
        <x:v>round</x:v>
      </x:c>
      <x:c r="H33" s="727" t="str">
        <x:v>SVG is aria-hidden when adjacent to text; icon-only control requires an explicit localized accessible name.</x:v>
      </x:c>
      <x:c r="I33" s="763" t="str">
        <x:v>approved-code-native</x:v>
      </x:c>
    </x:row>
    <x:row r="34" ht="58" customHeight="1">
      <x:c r="A34" s="726" t="str">
        <x:v>ICN-30</x:v>
      </x:c>
      <x:c r="B34" s="726" t="str">
        <x:v>Destructive</x:v>
      </x:c>
      <x:c r="C34" s="726" t="str">
        <x:v>harm</x:v>
      </x:c>
      <x:c r="D34" s="726" t="str">
        <x:v>mythic-destructive</x:v>
      </x:c>
      <x:c r="E34" s="726" t="str">
        <x:v>24×24</x:v>
      </x:c>
      <x:c r="F34" s="726" t="n">
        <x:v>1.75</x:v>
      </x:c>
      <x:c r="G34" s="726" t="str">
        <x:v>square</x:v>
      </x:c>
      <x:c r="H34" s="726" t="str">
        <x:v>SVG is aria-hidden when adjacent to text; icon-only control requires an explicit localized accessible name.</x:v>
      </x:c>
      <x:c r="I34" s="763" t="str">
        <x:v>approved-code-native</x:v>
      </x:c>
    </x:row>
    <x:row r="35" ht="58" customHeight="1">
      <x:c r="A35" s="727" t="str">
        <x:v>ICN-31</x:v>
      </x:c>
      <x:c r="B35" s="727" t="str">
        <x:v>Capturing</x:v>
      </x:c>
      <x:c r="C35" s="727" t="str">
        <x:v>comic</x:v>
      </x:c>
      <x:c r="D35" s="727" t="str">
        <x:v>mythic-capture</x:v>
      </x:c>
      <x:c r="E35" s="727" t="str">
        <x:v>24×24</x:v>
      </x:c>
      <x:c r="F35" s="727" t="n">
        <x:v>1.75</x:v>
      </x:c>
      <x:c r="G35" s="727" t="str">
        <x:v>square</x:v>
      </x:c>
      <x:c r="H35" s="727" t="str">
        <x:v>SVG is aria-hidden when adjacent to text; icon-only control requires an explicit localized accessible name.</x:v>
      </x:c>
      <x:c r="I35" s="763" t="str">
        <x:v>approved-code-native</x:v>
      </x:c>
    </x:row>
    <x:row r="36" ht="58" customHeight="1">
      <x:c r="A36" s="726" t="str">
        <x:v>ICN-32</x:v>
      </x:c>
      <x:c r="B36" s="726" t="str">
        <x:v>Waiting</x:v>
      </x:c>
      <x:c r="C36" s="726" t="str">
        <x:v>comic</x:v>
      </x:c>
      <x:c r="D36" s="726" t="str">
        <x:v>mythic-waiting</x:v>
      </x:c>
      <x:c r="E36" s="726" t="str">
        <x:v>24×24</x:v>
      </x:c>
      <x:c r="F36" s="726" t="n">
        <x:v>1.75</x:v>
      </x:c>
      <x:c r="G36" s="726" t="str">
        <x:v>round</x:v>
      </x:c>
      <x:c r="H36" s="726" t="str">
        <x:v>SVG is aria-hidden when adjacent to text; icon-only control requires an explicit localized accessible name.</x:v>
      </x:c>
      <x:c r="I36" s="763" t="str">
        <x:v>approved-code-native</x:v>
      </x:c>
    </x:row>
    <x:row r="37" ht="58" customHeight="1">
      <x:c r="A37" s="727" t="str">
        <x:v>ICN-33</x:v>
      </x:c>
      <x:c r="B37" s="727" t="str">
        <x:v>Source Locked</x:v>
      </x:c>
      <x:c r="C37" s="727" t="str">
        <x:v>comic</x:v>
      </x:c>
      <x:c r="D37" s="727" t="str">
        <x:v>mythic-source-locked</x:v>
      </x:c>
      <x:c r="E37" s="727" t="str">
        <x:v>24×24</x:v>
      </x:c>
      <x:c r="F37" s="727" t="n">
        <x:v>1.75</x:v>
      </x:c>
      <x:c r="G37" s="727" t="str">
        <x:v>square</x:v>
      </x:c>
      <x:c r="H37" s="727" t="str">
        <x:v>SVG is aria-hidden when adjacent to text; icon-only control requires an explicit localized accessible name.</x:v>
      </x:c>
      <x:c r="I37" s="763" t="str">
        <x:v>approved-code-native</x:v>
      </x:c>
    </x:row>
    <x:row r="38" ht="58" customHeight="1">
      <x:c r="A38" s="726" t="str">
        <x:v>ICN-34</x:v>
      </x:c>
      <x:c r="B38" s="726" t="str">
        <x:v>Producing</x:v>
      </x:c>
      <x:c r="C38" s="726" t="str">
        <x:v>comic</x:v>
      </x:c>
      <x:c r="D38" s="726" t="str">
        <x:v>mythic-producing</x:v>
      </x:c>
      <x:c r="E38" s="726" t="str">
        <x:v>24×24</x:v>
      </x:c>
      <x:c r="F38" s="726" t="n">
        <x:v>1.75</x:v>
      </x:c>
      <x:c r="G38" s="726" t="str">
        <x:v>round</x:v>
      </x:c>
      <x:c r="H38" s="726" t="str">
        <x:v>SVG is aria-hidden when adjacent to text; icon-only control requires an explicit localized accessible name.</x:v>
      </x:c>
      <x:c r="I38" s="763" t="str">
        <x:v>approved-code-native</x:v>
      </x:c>
    </x:row>
    <x:row r="39" ht="58" customHeight="1">
      <x:c r="A39" s="727" t="str">
        <x:v>ICN-35</x:v>
      </x:c>
      <x:c r="B39" s="727" t="str">
        <x:v>QA</x:v>
      </x:c>
      <x:c r="C39" s="727" t="str">
        <x:v>comic</x:v>
      </x:c>
      <x:c r="D39" s="727" t="str">
        <x:v>mythic-qa</x:v>
      </x:c>
      <x:c r="E39" s="727" t="str">
        <x:v>24×24</x:v>
      </x:c>
      <x:c r="F39" s="727" t="n">
        <x:v>1.75</x:v>
      </x:c>
      <x:c r="G39" s="727" t="str">
        <x:v>square</x:v>
      </x:c>
      <x:c r="H39" s="727" t="str">
        <x:v>SVG is aria-hidden when adjacent to text; icon-only control requires an explicit localized accessible name.</x:v>
      </x:c>
      <x:c r="I39" s="763" t="str">
        <x:v>approved-code-native</x:v>
      </x:c>
    </x:row>
    <x:row r="40" ht="58" customHeight="1">
      <x:c r="A40" s="726" t="str">
        <x:v>ICN-36</x:v>
      </x:c>
      <x:c r="B40" s="726" t="str">
        <x:v>Blocked</x:v>
      </x:c>
      <x:c r="C40" s="726" t="str">
        <x:v>comic</x:v>
      </x:c>
      <x:c r="D40" s="726" t="str">
        <x:v>mythic-blocked</x:v>
      </x:c>
      <x:c r="E40" s="726" t="str">
        <x:v>24×24</x:v>
      </x:c>
      <x:c r="F40" s="726" t="n">
        <x:v>1.75</x:v>
      </x:c>
      <x:c r="G40" s="726" t="str">
        <x:v>round</x:v>
      </x:c>
      <x:c r="H40" s="726" t="str">
        <x:v>SVG is aria-hidden when adjacent to text; icon-only control requires an explicit localized accessible name.</x:v>
      </x:c>
      <x:c r="I40" s="763" t="str">
        <x:v>approved-code-native</x:v>
      </x:c>
    </x:row>
    <x:row r="41" ht="58" customHeight="1">
      <x:c r="A41" s="727" t="str">
        <x:v>ICN-37</x:v>
      </x:c>
      <x:c r="B41" s="727" t="str">
        <x:v>Published</x:v>
      </x:c>
      <x:c r="C41" s="727" t="str">
        <x:v>comic</x:v>
      </x:c>
      <x:c r="D41" s="727" t="str">
        <x:v>mythic-published</x:v>
      </x:c>
      <x:c r="E41" s="727" t="str">
        <x:v>24×24</x:v>
      </x:c>
      <x:c r="F41" s="727" t="n">
        <x:v>1.75</x:v>
      </x:c>
      <x:c r="G41" s="727" t="str">
        <x:v>square</x:v>
      </x:c>
      <x:c r="H41" s="727" t="str">
        <x:v>SVG is aria-hidden when adjacent to text; icon-only control requires an explicit localized accessible name.</x:v>
      </x:c>
      <x:c r="I41" s="763" t="str">
        <x:v>approved-code-native</x:v>
      </x:c>
    </x:row>
    <x:row r="42" ht="58" customHeight="1">
      <x:c r="A42" s="726" t="str">
        <x:v>ICN-38</x:v>
      </x:c>
      <x:c r="B42" s="726" t="str">
        <x:v>Loading</x:v>
      </x:c>
      <x:c r="C42" s="726" t="str">
        <x:v>state</x:v>
      </x:c>
      <x:c r="D42" s="726" t="str">
        <x:v>mythic-loading</x:v>
      </x:c>
      <x:c r="E42" s="726" t="str">
        <x:v>24×24</x:v>
      </x:c>
      <x:c r="F42" s="726" t="n">
        <x:v>1.75</x:v>
      </x:c>
      <x:c r="G42" s="726" t="str">
        <x:v>round</x:v>
      </x:c>
      <x:c r="H42" s="726" t="str">
        <x:v>SVG is aria-hidden when adjacent to text; icon-only control requires an explicit localized accessible name.</x:v>
      </x:c>
      <x:c r="I42" s="763" t="str">
        <x:v>approved-code-native</x:v>
      </x:c>
    </x:row>
    <x:row r="43" ht="58" customHeight="1">
      <x:c r="A43" s="727" t="str">
        <x:v>ICN-39</x:v>
      </x:c>
      <x:c r="B43" s="727" t="str">
        <x:v>Empty</x:v>
      </x:c>
      <x:c r="C43" s="727" t="str">
        <x:v>state</x:v>
      </x:c>
      <x:c r="D43" s="727" t="str">
        <x:v>mythic-empty</x:v>
      </x:c>
      <x:c r="E43" s="727" t="str">
        <x:v>24×24</x:v>
      </x:c>
      <x:c r="F43" s="727" t="n">
        <x:v>1.75</x:v>
      </x:c>
      <x:c r="G43" s="727" t="str">
        <x:v>square</x:v>
      </x:c>
      <x:c r="H43" s="727" t="str">
        <x:v>SVG is aria-hidden when adjacent to text; icon-only control requires an explicit localized accessible name.</x:v>
      </x:c>
      <x:c r="I43" s="763" t="str">
        <x:v>approved-code-native</x:v>
      </x:c>
    </x:row>
    <x:row r="44" ht="58" customHeight="1">
      <x:c r="A44" s="726" t="str">
        <x:v>ICN-40</x:v>
      </x:c>
      <x:c r="B44" s="726" t="str">
        <x:v>Stale</x:v>
      </x:c>
      <x:c r="C44" s="726" t="str">
        <x:v>state</x:v>
      </x:c>
      <x:c r="D44" s="726" t="str">
        <x:v>mythic-stale</x:v>
      </x:c>
      <x:c r="E44" s="726" t="str">
        <x:v>24×24</x:v>
      </x:c>
      <x:c r="F44" s="726" t="n">
        <x:v>1.75</x:v>
      </x:c>
      <x:c r="G44" s="726" t="str">
        <x:v>square</x:v>
      </x:c>
      <x:c r="H44" s="726" t="str">
        <x:v>SVG is aria-hidden when adjacent to text; icon-only control requires an explicit localized accessible name.</x:v>
      </x:c>
      <x:c r="I44" s="763" t="str">
        <x:v>approved-code-native</x:v>
      </x:c>
    </x:row>
    <x:row r="45" ht="58" customHeight="1">
      <x:c r="A45" s="727" t="str">
        <x:v>ICN-41</x:v>
      </x:c>
      <x:c r="B45" s="727" t="str">
        <x:v>Conflict</x:v>
      </x:c>
      <x:c r="C45" s="727" t="str">
        <x:v>state</x:v>
      </x:c>
      <x:c r="D45" s="727" t="str">
        <x:v>mythic-conflict</x:v>
      </x:c>
      <x:c r="E45" s="727" t="str">
        <x:v>24×24</x:v>
      </x:c>
      <x:c r="F45" s="727" t="n">
        <x:v>1.75</x:v>
      </x:c>
      <x:c r="G45" s="727" t="str">
        <x:v>square</x:v>
      </x:c>
      <x:c r="H45" s="727" t="str">
        <x:v>SVG is aria-hidden when adjacent to text; icon-only control requires an explicit localized accessible name.</x:v>
      </x:c>
      <x:c r="I45" s="763" t="str">
        <x:v>approved-code-native</x:v>
      </x:c>
    </x:row>
    <x:row r="46" ht="58" customHeight="1">
      <x:c r="A46" s="726" t="str">
        <x:v>ICN-42</x:v>
      </x:c>
      <x:c r="B46" s="726" t="str">
        <x:v>Recovery</x:v>
      </x:c>
      <x:c r="C46" s="726" t="str">
        <x:v>state</x:v>
      </x:c>
      <x:c r="D46" s="726" t="str">
        <x:v>mythic-recovery</x:v>
      </x:c>
      <x:c r="E46" s="726" t="str">
        <x:v>24×24</x:v>
      </x:c>
      <x:c r="F46" s="726" t="n">
        <x:v>1.75</x:v>
      </x:c>
      <x:c r="G46" s="726" t="str">
        <x:v>round</x:v>
      </x:c>
      <x:c r="H46" s="726" t="str">
        <x:v>SVG is aria-hidden when adjacent to text; icon-only control requires an explicit localized accessible name.</x:v>
      </x:c>
      <x:c r="I46" s="763" t="str">
        <x:v>approved-code-native</x:v>
      </x:c>
    </x:row>
    <x:row r="47" ht="58" customHeight="1">
      <x:c r="A47" s="727" t="str">
        <x:v>ICN-43</x:v>
      </x:c>
      <x:c r="B47" s="727" t="str">
        <x:v>Unavailable</x:v>
      </x:c>
      <x:c r="C47" s="727" t="str">
        <x:v>state</x:v>
      </x:c>
      <x:c r="D47" s="727" t="str">
        <x:v>mythic-unavailable</x:v>
      </x:c>
      <x:c r="E47" s="727" t="str">
        <x:v>24×24</x:v>
      </x:c>
      <x:c r="F47" s="727" t="n">
        <x:v>1.75</x:v>
      </x:c>
      <x:c r="G47" s="727" t="str">
        <x:v>square</x:v>
      </x:c>
      <x:c r="H47" s="727" t="str">
        <x:v>SVG is aria-hidden when adjacent to text; icon-only control requires an explicit localized accessible name.</x:v>
      </x:c>
      <x:c r="I47" s="763" t="str">
        <x:v>approved-code-native</x:v>
      </x:c>
    </x:row>
    <x:row r="48" ht="58" customHeight="1">
      <x:c r="A48" s="726" t="str">
        <x:v>ICN-44</x:v>
      </x:c>
      <x:c r="B48" s="726" t="str">
        <x:v>Offline</x:v>
      </x:c>
      <x:c r="C48" s="726" t="str">
        <x:v>state</x:v>
      </x:c>
      <x:c r="D48" s="726" t="str">
        <x:v>mythic-offline</x:v>
      </x:c>
      <x:c r="E48" s="726" t="str">
        <x:v>24×24</x:v>
      </x:c>
      <x:c r="F48" s="726" t="n">
        <x:v>1.75</x:v>
      </x:c>
      <x:c r="G48" s="726" t="str">
        <x:v>round</x:v>
      </x:c>
      <x:c r="H48" s="726" t="str">
        <x:v>SVG is aria-hidden when adjacent to text; icon-only control requires an explicit localized accessible name.</x:v>
      </x:c>
      <x:c r="I48" s="763" t="str">
        <x:v>approved-code-native</x:v>
      </x:c>
    </x:row>
    <x:row r="49" ht="58" customHeight="1">
      <x:c r="A49" s="727" t="str">
        <x:v>ICN-45</x:v>
      </x:c>
      <x:c r="B49" s="727" t="str">
        <x:v>Success</x:v>
      </x:c>
      <x:c r="C49" s="727" t="str">
        <x:v>state</x:v>
      </x:c>
      <x:c r="D49" s="727" t="str">
        <x:v>mythic-success</x:v>
      </x:c>
      <x:c r="E49" s="727" t="str">
        <x:v>24×24</x:v>
      </x:c>
      <x:c r="F49" s="727" t="n">
        <x:v>1.75</x:v>
      </x:c>
      <x:c r="G49" s="727" t="str">
        <x:v>round</x:v>
      </x:c>
      <x:c r="H49" s="727" t="str">
        <x:v>SVG is aria-hidden when adjacent to text; icon-only control requires an explicit localized accessible name.</x:v>
      </x:c>
      <x:c r="I49" s="763" t="str">
        <x:v>approved-code-native</x:v>
      </x:c>
    </x:row>
    <x:row r="50" ht="58" customHeight="1">
      <x:c r="A50" s="726" t="str">
        <x:v>ICN-46</x:v>
      </x:c>
      <x:c r="B50" s="726" t="str">
        <x:v>Mixed</x:v>
      </x:c>
      <x:c r="C50" s="726" t="str">
        <x:v>state</x:v>
      </x:c>
      <x:c r="D50" s="726" t="str">
        <x:v>mythic-mixed</x:v>
      </x:c>
      <x:c r="E50" s="726" t="str">
        <x:v>24×24</x:v>
      </x:c>
      <x:c r="F50" s="726" t="n">
        <x:v>1.75</x:v>
      </x:c>
      <x:c r="G50" s="726" t="str">
        <x:v>round</x:v>
      </x:c>
      <x:c r="H50" s="726" t="str">
        <x:v>SVG is aria-hidden when adjacent to text; icon-only control requires an explicit localized accessible name.</x:v>
      </x:c>
      <x:c r="I50" s="763" t="str">
        <x:v>approved-code-native</x:v>
      </x:c>
    </x:row>
    <x:row r="51" ht="58" customHeight="1">
      <x:c r="A51" s="727" t="str">
        <x:v>ICN-47</x:v>
      </x:c>
      <x:c r="B51" s="727" t="str">
        <x:v>Failure</x:v>
      </x:c>
      <x:c r="C51" s="727" t="str">
        <x:v>state</x:v>
      </x:c>
      <x:c r="D51" s="727" t="str">
        <x:v>mythic-failure</x:v>
      </x:c>
      <x:c r="E51" s="727" t="str">
        <x:v>24×24</x:v>
      </x:c>
      <x:c r="F51" s="727" t="n">
        <x:v>1.75</x:v>
      </x:c>
      <x:c r="G51" s="727" t="str">
        <x:v>round</x:v>
      </x:c>
      <x:c r="H51" s="727" t="str">
        <x:v>SVG is aria-hidden when adjacent to text; icon-only control requires an explicit localized accessible name.</x:v>
      </x:c>
      <x:c r="I51" s="763" t="str">
        <x:v>approved-code-native</x:v>
      </x:c>
    </x:row>
    <x:row r="52" ht="58" customHeight="1">
      <x:c r="A52" s="726" t="str">
        <x:v>ICN-48</x:v>
      </x:c>
      <x:c r="B52" s="726" t="str">
        <x:v>Refusal</x:v>
      </x:c>
      <x:c r="C52" s="726" t="str">
        <x:v>state</x:v>
      </x:c>
      <x:c r="D52" s="726" t="str">
        <x:v>mythic-refusal</x:v>
      </x:c>
      <x:c r="E52" s="726" t="str">
        <x:v>24×24</x:v>
      </x:c>
      <x:c r="F52" s="726" t="n">
        <x:v>1.75</x:v>
      </x:c>
      <x:c r="G52" s="726" t="str">
        <x:v>round</x:v>
      </x:c>
      <x:c r="H52" s="726" t="str">
        <x:v>SVG is aria-hidden when adjacent to text; icon-only control requires an explicit localized accessible name.</x:v>
      </x:c>
      <x:c r="I52" s="763" t="str">
        <x:v>approved-code-native</x:v>
      </x:c>
    </x:row>
    <x:row r="53" ht="58" customHeight="1">
      <x:c r="A53" s="735" t="str">
        <x:v>ICN-49</x:v>
      </x:c>
      <x:c r="B53" s="735" t="str">
        <x:v>Interruption</x:v>
      </x:c>
      <x:c r="C53" s="735" t="str">
        <x:v>state</x:v>
      </x:c>
      <x:c r="D53" s="735" t="str">
        <x:v>mythic-interruption</x:v>
      </x:c>
      <x:c r="E53" s="735" t="str">
        <x:v>24×24</x:v>
      </x:c>
      <x:c r="F53" s="735" t="n">
        <x:v>1.75</x:v>
      </x:c>
      <x:c r="G53" s="735" t="str">
        <x:v>square</x:v>
      </x:c>
      <x:c r="H53" s="735" t="str">
        <x:v>SVG is aria-hidden when adjacent to text; icon-only control requires an explicit localized accessible name.</x:v>
      </x:c>
      <x:c r="I53" s="765" t="str">
        <x:v>approved-code-native</x:v>
      </x:c>
    </x:row>
  </x:sheetData>
  <x:mergeCells>
    <x:mergeCell ref="A1:I1"/>
    <x:mergeCell ref="A2:I2"/>
  </x:mergeCells>
  <x:pageMargins left="0.7" right="0.7" top="0.75" bottom="0.75" header="0.3" footer="0.3"/>
  <x:tableParts count="1">
    <x:tablePart xmlns:r="http://schemas.openxmlformats.org/officeDocument/2006/relationships" r:id="R9133e5f53bef4ea4"/>
  </x:tableParts>
</x:worksheet>
</file>

<file path=xl/worksheets/sheet39.xml><?xml version="1.0" encoding="utf-8"?>
<x:worksheet xmlns:x="http://schemas.openxmlformats.org/spreadsheetml/2006/main">
  <x:sheetViews>
    <x:sheetView showGridLines="0" workbookViewId="0"/>
  </x:sheetViews>
  <x:sheetFormatPr defaultRowHeight="15"/>
  <x:cols>
    <x:col min="1" max="1" width="13" hidden="0" customWidth="1"/>
    <x:col min="2" max="2" width="34" hidden="0" customWidth="1"/>
    <x:col min="3" max="3" width="58" hidden="0" customWidth="1"/>
    <x:col min="4" max="4" width="70" hidden="0" customWidth="1"/>
    <x:col min="5" max="5" width="18" hidden="0" customWidth="1"/>
    <x:col min="6" max="6" width="15" hidden="0" customWidth="1"/>
    <x:col min="7" max="7" width="14" hidden="0" customWidth="1"/>
  </x:cols>
  <x:sheetData>
    <x:row r="1">
      <x:c r="A1" s="679" t="str">
        <x:v>UI-03 • 14 SCREEN ASSET-PLACEMENT CONTRACTS</x:v>
      </x:c>
      <x:c r="B1" s="679" t="str">
        <x:v>UI-03 • 14 SCREEN ASSET-PLACEMENT CONTRACTS</x:v>
      </x:c>
      <x:c r="C1" s="679" t="str">
        <x:v>UI-03 • 14 SCREEN ASSET-PLACEMENT CONTRACTS</x:v>
      </x:c>
      <x:c r="D1" s="679" t="str">
        <x:v>UI-03 • 14 SCREEN ASSET-PLACEMENT CONTRACTS</x:v>
      </x:c>
      <x:c r="E1" s="679" t="str">
        <x:v>UI-03 • 14 SCREEN ASSET-PLACEMENT CONTRACTS</x:v>
      </x:c>
      <x:c r="F1" s="679" t="str">
        <x:v>UI-03 • 14 SCREEN ASSET-PLACEMENT CONTRACTS</x:v>
      </x:c>
      <x:c r="G1" s="679" t="str">
        <x:v>UI-03 • 14 SCREEN ASSET-PLACEMENT CONTRACTS</x:v>
      </x:c>
    </x:row>
    <x:row r="2">
      <x:c r="A2" s="683" t="str">
        <x:v>Every screen preserves the complete player capability when art is absent, blocked, stale, rejected or suppressed by preference</x:v>
      </x:c>
      <x:c r="B2" s="683" t="str">
        <x:v>Every screen preserves the complete player capability when art is absent, blocked, stale, rejected or suppressed by preference</x:v>
      </x:c>
      <x:c r="C2" s="683" t="str">
        <x:v>Every screen preserves the complete player capability when art is absent, blocked, stale, rejected or suppressed by preference</x:v>
      </x:c>
      <x:c r="D2" s="683" t="str">
        <x:v>Every screen preserves the complete player capability when art is absent, blocked, stale, rejected or suppressed by preference</x:v>
      </x:c>
      <x:c r="E2" s="683" t="str">
        <x:v>Every screen preserves the complete player capability when art is absent, blocked, stale, rejected or suppressed by preference</x:v>
      </x:c>
      <x:c r="F2" s="683" t="str">
        <x:v>Every screen preserves the complete player capability when art is absent, blocked, stale, rejected or suppressed by preference</x:v>
      </x:c>
      <x:c r="G2" s="683" t="str">
        <x:v>Every screen preserves the complete player capability when art is absent, blocked, stale, rejected or suppressed by preference</x:v>
      </x:c>
    </x:row>
    <x:row r="4">
      <x:c r="A4" s="723" t="str">
        <x:v>Screen</x:v>
      </x:c>
      <x:c r="B4" s="724" t="str">
        <x:v>Screen family</x:v>
      </x:c>
      <x:c r="C4" s="724" t="str">
        <x:v>Allowed asset slots</x:v>
      </x:c>
      <x:c r="D4" s="724" t="str">
        <x:v>Placement / knowledge rule</x:v>
      </x:c>
      <x:c r="E4" s="724" t="str">
        <x:v>Fallback asset</x:v>
      </x:c>
      <x:c r="F4" s="724" t="str">
        <x:v>Art required?</x:v>
      </x:c>
      <x:c r="G4" s="725" t="str">
        <x:v>Status</x:v>
      </x:c>
    </x:row>
    <x:row r="5" ht="92" customHeight="1">
      <x:c r="A5" s="703" t="str">
        <x:v>SCR-01</x:v>
      </x:c>
      <x:c r="B5" s="703" t="str">
        <x:v>Campaign Library &amp; Resume</x:v>
      </x:c>
      <x:c r="C5" s="703" t="str">
        <x:v>VIS-AMB-002, VIS-AMB-004, VIS-BRD-002, VIS-COM-003</x:v>
      </x:c>
      <x:c r="D5" s="703" t="str">
        <x:v>Campaign covers are optional; resume truth, Ledger Time and recovery remain live text.</x:v>
      </x:c>
      <x:c r="E5" s="703" t="str">
        <x:v>VIS-FBK-001</x:v>
      </x:c>
      <x:c r="F5" s="703" t="str">
        <x:v>No</x:v>
      </x:c>
      <x:c r="G5" s="758" t="str">
        <x:v>approved</x:v>
      </x:c>
    </x:row>
    <x:row r="6" ht="92" customHeight="1">
      <x:c r="A6" s="726" t="str">
        <x:v>SCR-02</x:v>
      </x:c>
      <x:c r="B6" s="726" t="str">
        <x:v>New Campaign &amp; Issue #0</x:v>
      </x:c>
      <x:c r="C6" s="726" t="str">
        <x:v>VIS-AMB-003, VIS-BRD-003</x:v>
      </x:c>
      <x:c r="D6" s="726" t="str">
        <x:v>Premise art may establish tone but cannot promise hidden factions, outcomes or powers.</x:v>
      </x:c>
      <x:c r="E6" s="726" t="str">
        <x:v>VIS-FBK-001</x:v>
      </x:c>
      <x:c r="F6" s="726" t="str">
        <x:v>No</x:v>
      </x:c>
      <x:c r="G6" s="763" t="str">
        <x:v>approved</x:v>
      </x:c>
    </x:row>
    <x:row r="7" ht="92" customHeight="1">
      <x:c r="A7" s="727" t="str">
        <x:v>SCR-03</x:v>
      </x:c>
      <x:c r="B7" s="727" t="str">
        <x:v>Character Creation &amp; BP Review</x:v>
      </x:c>
      <x:c r="C7" s="727" t="str">
        <x:v>VIS-ENT-001, VIS-ENT-002</x:v>
      </x:c>
      <x:c r="D7" s="727" t="str">
        <x:v>No generated character face appears before player appearance choices and invariant review.</x:v>
      </x:c>
      <x:c r="E7" s="727" t="str">
        <x:v>VIS-FBK-002</x:v>
      </x:c>
      <x:c r="F7" s="727" t="str">
        <x:v>No</x:v>
      </x:c>
      <x:c r="G7" s="763" t="str">
        <x:v>approved</x:v>
      </x:c>
    </x:row>
    <x:row r="8" ht="92" customHeight="1">
      <x:c r="A8" s="726" t="str">
        <x:v>SCR-04</x:v>
      </x:c>
      <x:c r="B8" s="726" t="str">
        <x:v>Living Stage · Exploration &amp; Social</x:v>
      </x:c>
      <x:c r="C8" s="726" t="str">
        <x:v>VIS-AMB-001, VIS-SCN-001, VIS-SCN-004, VIS-SCN-008, VIS-ENT-003, VIS-ENT-005, VIS-ENT-007, VIS-OBJ-005</x:v>
      </x:c>
      <x:c r="D8" s="726" t="str">
        <x:v>Stage art may support place and presence; semantic scene geography, speech, markers and actions remain HTML/SVG.</x:v>
      </x:c>
      <x:c r="E8" s="726" t="str">
        <x:v>VIS-FBK-002</x:v>
      </x:c>
      <x:c r="F8" s="726" t="str">
        <x:v>No</x:v>
      </x:c>
      <x:c r="G8" s="763" t="str">
        <x:v>approved</x:v>
      </x:c>
    </x:row>
    <x:row r="9" ht="92" customHeight="1">
      <x:c r="A9" s="727" t="str">
        <x:v>SCR-05</x:v>
      </x:c>
      <x:c r="B9" s="727" t="str">
        <x:v>Interpretation, Forecast &amp; Resolution</x:v>
      </x:c>
      <x:c r="C9" s="727" t="str">
        <x:v>VIS-OBJ-005, VIS-EVT-001, VIS-EVT-002, VIS-EVT-003, VIS-EVT-004</x:v>
      </x:c>
      <x:c r="D9" s="727" t="str">
        <x:v>Forecast never displays an event plate; event art appears only after an authoritative receipt or in a labeled fixture.</x:v>
      </x:c>
      <x:c r="E9" s="727" t="str">
        <x:v>VIS-FBK-002</x:v>
      </x:c>
      <x:c r="F9" s="727" t="str">
        <x:v>No</x:v>
      </x:c>
      <x:c r="G9" s="763" t="str">
        <x:v>approved</x:v>
      </x:c>
    </x:row>
    <x:row r="10" ht="92" customHeight="1">
      <x:c r="A10" s="726" t="str">
        <x:v>SCR-06</x:v>
      </x:c>
      <x:c r="B10" s="726" t="str">
        <x:v>Immediate Danger, Interrupt &amp; Defeat</x:v>
      </x:c>
      <x:c r="C10" s="726" t="str">
        <x:v>VIS-SCN-002, VIS-SCN-003, VIS-EVT-003, VIS-EVT-005, VIS-ENT-006</x:v>
      </x:c>
      <x:c r="D10" s="726" t="str">
        <x:v>Danger remains readable without art; no animation or crop may hide legal actions, costs or continuation.</x:v>
      </x:c>
      <x:c r="E10" s="726" t="str">
        <x:v>VIS-FBK-004</x:v>
      </x:c>
      <x:c r="F10" s="726" t="str">
        <x:v>No</x:v>
      </x:c>
      <x:c r="G10" s="763" t="str">
        <x:v>approved</x:v>
      </x:c>
    </x:row>
    <x:row r="11" ht="92" customHeight="1">
      <x:c r="A11" s="727" t="str">
        <x:v>SCR-07</x:v>
      </x:c>
      <x:c r="B11" s="727" t="str">
        <x:v>Character, Condition &amp; Progression</x:v>
      </x:c>
      <x:c r="C11" s="727" t="str">
        <x:v>VIS-ENT-001, VIS-ENT-002, VIS-EVT-006, VIS-EVT-008, VIS-OBJ-001</x:v>
      </x:c>
      <x:c r="D11" s="727" t="str">
        <x:v>Appearance and damage variants require exact entity/event versions; Wound and BP truth remain structured.</x:v>
      </x:c>
      <x:c r="E11" s="727" t="str">
        <x:v>VIS-FBK-002</x:v>
      </x:c>
      <x:c r="F11" s="727" t="str">
        <x:v>No</x:v>
      </x:c>
      <x:c r="G11" s="763" t="str">
        <x:v>approved</x:v>
      </x:c>
    </x:row>
    <x:row r="12" ht="92" customHeight="1">
      <x:c r="A12" s="726" t="str">
        <x:v>SCR-08</x:v>
      </x:c>
      <x:c r="B12" s="726" t="str">
        <x:v>Company, Relationships &amp; Relic Agency</x:v>
      </x:c>
      <x:c r="C12" s="726" t="str">
        <x:v>VIS-AMB-006, VIS-ENT-003, VIS-ENT-004, VIS-ENT-005, VIS-ENT-006, VIS-ENT-007, VIS-ENT-009, VIS-EVT-004, VIS-EVT-006</x:v>
      </x:c>
      <x:c r="D12" s="726" t="str">
        <x:v>Portraits cannot encode private motives, obedience scores or hidden Bond values.</x:v>
      </x:c>
      <x:c r="E12" s="726" t="str">
        <x:v>VIS-FBK-002</x:v>
      </x:c>
      <x:c r="F12" s="726" t="str">
        <x:v>No</x:v>
      </x:c>
      <x:c r="G12" s="763" t="str">
        <x:v>approved</x:v>
      </x:c>
    </x:row>
    <x:row r="13" ht="92" customHeight="1">
      <x:c r="A13" s="727" t="str">
        <x:v>SCR-09</x:v>
      </x:c>
      <x:c r="B13" s="727" t="str">
        <x:v>Holdings, Custody &amp; Projects</x:v>
      </x:c>
      <x:c r="C13" s="727" t="str">
        <x:v>VIS-OBJ-001, VIS-OBJ-003, VIS-OBJ-004, VIS-OBJ-005, VIS-OBJ-006, VIS-EVT-005</x:v>
      </x:c>
      <x:c r="D13" s="727" t="str">
        <x:v>Object imagery never owns custody, quantity, condition or craft progress.</x:v>
      </x:c>
      <x:c r="E13" s="727" t="str">
        <x:v>VIS-FBK-002</x:v>
      </x:c>
      <x:c r="F13" s="727" t="str">
        <x:v>No</x:v>
      </x:c>
      <x:c r="G13" s="763" t="str">
        <x:v>approved</x:v>
      </x:c>
    </x:row>
    <x:row r="14" ht="92" customHeight="1">
      <x:c r="A14" s="726" t="str">
        <x:v>SCR-10</x:v>
      </x:c>
      <x:c r="B14" s="726" t="str">
        <x:v>World Atlas, Travel &amp; Exploration</x:v>
      </x:c>
      <x:c r="C14" s="726" t="str">
        <x:v>VIS-AMB-004, VIS-SCN-005, VIS-SCN-006, VIS-ENT-008, VIS-COM-005, VIS-MAP-001, VIS-MAP-002, VIS-MAP-003, VIS-MAP-004</x:v>
      </x:c>
      <x:c r="D14" s="726" t="str">
        <x:v>Raster map textures are decorative; verified, reported, forecast, disputed and last-known geometry remains semantic SVG/HTML.</x:v>
      </x:c>
      <x:c r="E14" s="726" t="str">
        <x:v>VIS-FBK-004</x:v>
      </x:c>
      <x:c r="F14" s="726" t="str">
        <x:v>No</x:v>
      </x:c>
      <x:c r="G14" s="763" t="str">
        <x:v>approved</x:v>
      </x:c>
    </x:row>
    <x:row r="15" ht="92" customHeight="1">
      <x:c r="A15" s="727" t="str">
        <x:v>SCR-11</x:v>
      </x:c>
      <x:c r="B15" s="727" t="str">
        <x:v>Cases, Evidence, Fronts &amp; Law</x:v>
      </x:c>
      <x:c r="C15" s="727" t="str">
        <x:v>VIS-AMB-006, VIS-SCN-004, VIS-ENT-009, VIS-ENT-010, VIS-OBJ-002, VIS-MAP-002</x:v>
      </x:c>
      <x:c r="D15" s="727" t="str">
        <x:v>Evidence images cannot reveal undiscovered Features, hidden Front scale, private motives or unavailable exact coordinates.</x:v>
      </x:c>
      <x:c r="E15" s="727" t="str">
        <x:v>VIS-FBK-002</x:v>
      </x:c>
      <x:c r="F15" s="727" t="str">
        <x:v>No</x:v>
      </x:c>
      <x:c r="G15" s="763" t="str">
        <x:v>approved</x:v>
      </x:c>
    </x:row>
    <x:row r="16" ht="92" customHeight="1">
      <x:c r="A16" s="726" t="str">
        <x:v>SCR-12</x:v>
      </x:c>
      <x:c r="B16" s="726" t="str">
        <x:v>Chronicle, Audit &amp; Comic Reader</x:v>
      </x:c>
      <x:c r="C16" s="726" t="str">
        <x:v>VIS-COM-001, VIS-COM-002, VIS-COM-003, VIS-COM-004, VIS-COM-005, VIS-COM-006, VIS-COM-007, VIS-COM-008, VIS-EVT-007</x:v>
      </x:c>
      <x:c r="D16" s="726" t="str">
        <x:v>Only Source-Locked, rights-cleared, QA-passed art may appear as finished; WIP and published states must remain explicit.</x:v>
      </x:c>
      <x:c r="E16" s="726" t="str">
        <x:v>VIS-FBK-003</x:v>
      </x:c>
      <x:c r="F16" s="726" t="str">
        <x:v>No</x:v>
      </x:c>
      <x:c r="G16" s="763" t="str">
        <x:v>approved</x:v>
      </x:c>
    </x:row>
    <x:row r="17" ht="92" customHeight="1">
      <x:c r="A17" s="727" t="str">
        <x:v>SCR-13</x:v>
      </x:c>
      <x:c r="B17" s="727" t="str">
        <x:v>Save Recovery, Offline &amp; Conflict</x:v>
      </x:c>
      <x:c r="C17" s="727" t="str">
        <x:v>VIS-SCN-007</x:v>
      </x:c>
      <x:c r="D17" s="727" t="str">
        <x:v>Recovery uses retained structured truth; art is optional and never implies save success or reconnect completion.</x:v>
      </x:c>
      <x:c r="E17" s="727" t="str">
        <x:v>VIS-FBK-006</x:v>
      </x:c>
      <x:c r="F17" s="727" t="str">
        <x:v>No</x:v>
      </x:c>
      <x:c r="G17" s="763" t="str">
        <x:v>approved</x:v>
      </x:c>
    </x:row>
    <x:row r="18" ht="92" customHeight="1">
      <x:c r="A18" s="728" t="str">
        <x:v>SCR-14</x:v>
      </x:c>
      <x:c r="B18" s="728" t="str">
        <x:v>Settings, Accessibility &amp; Content Controls</x:v>
      </x:c>
      <x:c r="C18" s="728" t="str">
        <x:v>None</x:v>
      </x:c>
      <x:c r="D18" s="728" t="str">
        <x:v>Settings and accessibility remain fully functional without representational art.</x:v>
      </x:c>
      <x:c r="E18" s="728" t="str">
        <x:v>VIS-FBK-005</x:v>
      </x:c>
      <x:c r="F18" s="728" t="str">
        <x:v>No</x:v>
      </x:c>
      <x:c r="G18" s="765" t="str">
        <x:v>approved</x:v>
      </x:c>
    </x:row>
  </x:sheetData>
  <x:mergeCells>
    <x:mergeCell ref="A1:G1"/>
    <x:mergeCell ref="A2:G2"/>
  </x:mergeCells>
  <x:pageMargins left="0.7" right="0.7" top="0.75" bottom="0.75" header="0.3" footer="0.3"/>
  <x:tableParts count="1">
    <x:tablePart xmlns:r="http://schemas.openxmlformats.org/officeDocument/2006/relationships" r:id="Ra57205c2cac84fea"/>
  </x:tableParts>
</x:worksheet>
</file>

<file path=xl/worksheets/sheet40.xml><?xml version="1.0" encoding="utf-8"?>
<x:worksheet xmlns:x="http://schemas.openxmlformats.org/spreadsheetml/2006/main">
  <x:sheetViews>
    <x:sheetView showGridLines="0" workbookViewId="0"/>
  </x:sheetViews>
  <x:sheetFormatPr defaultRowHeight="15"/>
  <x:cols>
    <x:col min="1" max="1" width="11" hidden="0" customWidth="1"/>
    <x:col min="2" max="2" width="30" hidden="0" customWidth="1"/>
    <x:col min="3" max="3" width="22" hidden="0" customWidth="1"/>
    <x:col min="4" max="4" width="14" hidden="0" customWidth="1"/>
    <x:col min="5" max="5" width="78" hidden="0" customWidth="1"/>
    <x:col min="6" max="6" width="74" hidden="0" customWidth="1"/>
  </x:cols>
  <x:sheetData>
    <x:row r="1">
      <x:c r="A1" s="679" t="str">
        <x:v>UI-03 • ASSET PRODUCTION AND QA WAVES</x:v>
      </x:c>
      <x:c r="B1" s="679" t="str">
        <x:v>UI-03 • ASSET PRODUCTION AND QA WAVES</x:v>
      </x:c>
      <x:c r="C1" s="679" t="str">
        <x:v>UI-03 • ASSET PRODUCTION AND QA WAVES</x:v>
      </x:c>
      <x:c r="D1" s="679" t="str">
        <x:v>UI-03 • ASSET PRODUCTION AND QA WAVES</x:v>
      </x:c>
      <x:c r="E1" s="679" t="str">
        <x:v>UI-03 • ASSET PRODUCTION AND QA WAVES</x:v>
      </x:c>
      <x:c r="F1" s="679" t="str">
        <x:v>UI-03 • ASSET PRODUCTION AND QA WAVES</x:v>
      </x:c>
    </x:row>
    <x:row r="2">
      <x:c r="A2" s="683" t="str">
        <x:v>Reference calibration → first usable vertical slice → system breadth → Chronicle editions → release asset QA</x:v>
      </x:c>
      <x:c r="B2" s="683" t="str">
        <x:v>Reference calibration → first usable vertical slice → system breadth → Chronicle editions → release asset QA</x:v>
      </x:c>
      <x:c r="C2" s="683" t="str">
        <x:v>Reference calibration → first usable vertical slice → system breadth → Chronicle editions → release asset QA</x:v>
      </x:c>
      <x:c r="D2" s="683" t="str">
        <x:v>Reference calibration → first usable vertical slice → system breadth → Chronicle editions → release asset QA</x:v>
      </x:c>
      <x:c r="E2" s="683" t="str">
        <x:v>Reference calibration → first usable vertical slice → system breadth → Chronicle editions → release asset QA</x:v>
      </x:c>
      <x:c r="F2" s="683" t="str">
        <x:v>Reference calibration → first usable vertical slice → system breadth → Chronicle editions → release asset QA</x:v>
      </x:c>
    </x:row>
    <x:row r="4">
      <x:c r="A4" s="723" t="str">
        <x:v>Wave</x:v>
      </x:c>
      <x:c r="B4" s="724" t="str">
        <x:v>Name</x:v>
      </x:c>
      <x:c r="C4" s="724" t="str">
        <x:v>Priority</x:v>
      </x:c>
      <x:c r="D4" s="724" t="str">
        <x:v>Asset count</x:v>
      </x:c>
      <x:c r="E4" s="724" t="str">
        <x:v>Assets</x:v>
      </x:c>
      <x:c r="F4" s="725" t="str">
        <x:v>Exit condition</x:v>
      </x:c>
    </x:row>
    <x:row r="5" ht="100" customHeight="1">
      <x:c r="A5" s="742" t="n">
        <x:v>0</x:v>
      </x:c>
      <x:c r="B5" s="703" t="str">
        <x:v>Registry and rights calibration</x:v>
      </x:c>
      <x:c r="C5" s="703" t="str">
        <x:v>Now</x:v>
      </x:c>
      <x:c r="D5" s="703" t="n">
        <x:v>11</x:v>
      </x:c>
      <x:c r="E5" s="703" t="str">
        <x:v>VIS-AMB-001, VIS-ENT-005, VIS-OBJ-005, VIS-EVT-002, VIS-COM-001, VIS-FBK-001, VIS-FBK-002, VIS-FBK-003, VIS-FBK-004, VIS-FBK-005, VIS-FBK-006</x:v>
      </x:c>
      <x:c r="F5" s="703" t="str">
        <x:v>Reference files, exact prompts/lineage, rights status, icon sprite and all semantic fallbacks accepted.</x:v>
      </x:c>
    </x:row>
    <x:row r="6" ht="100" customHeight="1">
      <x:c r="A6" s="743" t="n">
        <x:v>1</x:v>
      </x:c>
      <x:c r="B6" s="726" t="str">
        <x:v>First usable vertical slice</x:v>
      </x:c>
      <x:c r="C6" s="726" t="str">
        <x:v>Before VS-01–03</x:v>
      </x:c>
      <x:c r="D6" s="726" t="n">
        <x:v>8</x:v>
      </x:c>
      <x:c r="E6" s="726" t="str">
        <x:v>VIS-AMB-002, VIS-AMB-003, VIS-SCN-001, VIS-SCN-002, VIS-OBJ-005, VIS-EVT-001, VIS-EVT-003, VIS-EVT-004</x:v>
      </x:c>
      <x:c r="F6" s="726" t="str">
        <x:v>Campaign Entry → Stage → Intent → Commit → Outcome works with media on/off and no knowledge leak.</x:v>
      </x:c>
    </x:row>
    <x:row r="7" ht="100" customHeight="1">
      <x:c r="A7" s="743" t="n">
        <x:v>2</x:v>
      </x:c>
      <x:c r="B7" s="727" t="str">
        <x:v>System breadth</x:v>
      </x:c>
      <x:c r="C7" s="727" t="str">
        <x:v>Before VS-04–08</x:v>
      </x:c>
      <x:c r="D7" s="727" t="n">
        <x:v>19</x:v>
      </x:c>
      <x:c r="E7" s="727" t="str">
        <x:v>VIS-ENT-001, VIS-ENT-003, VIS-ENT-004, VIS-ENT-006, VIS-OBJ-001, VIS-OBJ-002, VIS-OBJ-003, VIS-OBJ-004, VIS-OBJ-006, VIS-SCN-004, VIS-SCN-005, VIS-SCN-006, VIS-EVT-005, VIS-EVT-006, VIS-EVT-008, VIS-MAP-001, VIS-MAP-002, VIS-MAP-003, VIS-MAP-004</x:v>
      </x:c>
      <x:c r="F7" s="727" t="str">
        <x:v>Each entity/event asset is bound to approved invariants/versions and every World view has structured map parity.</x:v>
      </x:c>
    </x:row>
    <x:row r="8" ht="100" customHeight="1">
      <x:c r="A8" s="743" t="n">
        <x:v>3</x:v>
      </x:c>
      <x:c r="B8" s="726" t="str">
        <x:v>Chronicle and editions</x:v>
      </x:c>
      <x:c r="C8" s="726" t="str">
        <x:v>Before VS-09–10</x:v>
      </x:c>
      <x:c r="D8" s="726" t="n">
        <x:v>8</x:v>
      </x:c>
      <x:c r="E8" s="726" t="str">
        <x:v>VIS-COM-002, VIS-COM-003, VIS-COM-004, VIS-COM-005, VIS-COM-006, VIS-COM-007, VIS-COM-008, VIS-EVT-007</x:v>
      </x:c>
      <x:c r="F8" s="726" t="str">
        <x:v>Source Lock, Reader Knowledge Ceiling, WIP, QA, published and corrected-edition rules pass.</x:v>
      </x:c>
    </x:row>
    <x:row r="9" ht="100" customHeight="1">
      <x:c r="A9" s="744" t="n">
        <x:v>4</x:v>
      </x:c>
      <x:c r="B9" s="735" t="str">
        <x:v>Release asset QA</x:v>
      </x:c>
      <x:c r="C9" s="735" t="str">
        <x:v>Before QA-02/REL-01</x:v>
      </x:c>
      <x:c r="D9" s="735" t="n">
        <x:v>60</x:v>
      </x:c>
      <x:c r="E9" s="735" t="str">
        <x:v>VIS-AMB-001, VIS-AMB-002, VIS-AMB-003, VIS-AMB-004, VIS-AMB-005, VIS-AMB-006, VIS-SCN-001, VIS-SCN-002, VIS-SCN-003, VIS-SCN-004, VIS-SCN-005, VIS-SCN-006, VIS-SCN-007, VIS-SCN-008, VIS-ENT-001, VIS-ENT-002, VIS-ENT-003, VIS-ENT-004, VIS-ENT-005, VIS-ENT-006, VIS-ENT-007, VIS-ENT-008, VIS-ENT-009, VIS-ENT-010, VIS-OBJ-001, VIS-OBJ-002, VIS-OBJ-003, VIS-OBJ-004, VIS-OBJ-005, VIS-OBJ-006, VIS-EVT-001, VIS-EVT-002, VIS-EVT-003, VIS-EVT-004, VIS-EVT-005, VIS-EVT-006, VIS-EVT-007, VIS-EVT-008, VIS-COM-001, VIS-COM-002, VIS-COM-003, VIS-COM-004, VIS-COM-005, VIS-COM-006, VIS-COM-007, VIS-COM-008, VIS-MAP-001, VIS-MAP-002, VIS-MAP-003, VIS-MAP-004, VIS-BRD-001, VIS-BRD-002, VIS-BRD-003, VIS-BRD-004, VIS-FBK-001, VIS-FBK-002, VIS-FBK-003, VIS-FBK-004, VIS-FBK-005, VIS-FBK-006</x:v>
      </x:c>
      <x:c r="F9" s="735" t="str">
        <x:v>Target browsers, 200% zoom, forced colors, reduced motion/data, screen reader, long strings, RTL, responsive crops, visual regression and performance budgets pass.</x:v>
      </x:c>
    </x:row>
  </x:sheetData>
  <x:mergeCells>
    <x:mergeCell ref="A1:F1"/>
    <x:mergeCell ref="A2:F2"/>
  </x:mergeCells>
  <x:pageMargins left="0.7" right="0.7" top="0.75" bottom="0.75" header="0.3" footer="0.3"/>
  <x:tableParts count="1">
    <x:tablePart xmlns:r="http://schemas.openxmlformats.org/officeDocument/2006/relationships" r:id="Rfd7df6df33d0477b"/>
  </x:tableParts>
</x:worksheet>
</file>

<file path=xl/worksheets/sheet41.xml><?xml version="1.0" encoding="utf-8"?>
<x:worksheet xmlns:x="http://schemas.openxmlformats.org/spreadsheetml/2006/main">
  <x:sheetViews>
    <x:sheetView showGridLines="0" workbookViewId="0"/>
  </x:sheetViews>
  <x:sheetFormatPr defaultRowHeight="15"/>
  <x:cols>
    <x:col min="1" max="1" width="22" hidden="0" customWidth="1"/>
    <x:col min="2" max="2" width="50" hidden="0" customWidth="1"/>
    <x:col min="3" max="3" width="5" hidden="0" customWidth="1"/>
    <x:col min="4" max="4" width="27" hidden="0" customWidth="1"/>
    <x:col min="5" max="5" width="15" hidden="0" customWidth="1"/>
    <x:col min="6" max="6" width="5" hidden="0" customWidth="1"/>
    <x:col min="7" max="7" width="32" hidden="0" customWidth="1"/>
    <x:col min="8" max="8" width="32" hidden="0" customWidth="1"/>
  </x:cols>
  <x:sheetData>
    <x:row r="1" ht="30" customHeight="1">
      <x:c r="A1" s="768" t="str">
        <x:v>MYTHIC SUPERHERO RPG • UI-04 FRONTEND ARCHITECTURE</x:v>
      </x:c>
      <x:c r="B1" s="768" t="str">
        <x:v>MYTHIC SUPERHERO RPG • UI-04 FRONTEND ARCHITECTURE</x:v>
      </x:c>
      <x:c r="C1" s="768" t="str">
        <x:v>MYTHIC SUPERHERO RPG • UI-04 FRONTEND ARCHITECTURE</x:v>
      </x:c>
      <x:c r="D1" s="768" t="str">
        <x:v>MYTHIC SUPERHERO RPG • UI-04 FRONTEND ARCHITECTURE</x:v>
      </x:c>
      <x:c r="E1" s="768" t="str">
        <x:v>MYTHIC SUPERHERO RPG • UI-04 FRONTEND ARCHITECTURE</x:v>
      </x:c>
      <x:c r="F1" s="768" t="str">
        <x:v>MYTHIC SUPERHERO RPG • UI-04 FRONTEND ARCHITECTURE</x:v>
      </x:c>
      <x:c r="G1" s="768" t="str">
        <x:v>MYTHIC SUPERHERO RPG • UI-04 FRONTEND ARCHITECTURE</x:v>
      </x:c>
      <x:c r="H1" s="768" t="str">
        <x:v>MYTHIC SUPERHERO RPG • UI-04 FRONTEND ARCHITECTURE</x:v>
      </x:c>
    </x:row>
    <x:row r="2" ht="34" customHeight="1">
      <x:c r="A2" s="772" t="str">
        <x:v>Projection-only browser • explicit state machines and ports • desktop-first Adaptive Living World Stage • Figma-free • production gate CLOSED</x:v>
      </x:c>
      <x:c r="B2" s="772" t="str">
        <x:v>Projection-only browser • explicit state machines and ports • desktop-first Adaptive Living World Stage • Figma-free • production gate CLOSED</x:v>
      </x:c>
      <x:c r="C2" s="772" t="str">
        <x:v>Projection-only browser • explicit state machines and ports • desktop-first Adaptive Living World Stage • Figma-free • production gate CLOSED</x:v>
      </x:c>
      <x:c r="D2" s="772" t="str">
        <x:v>Projection-only browser • explicit state machines and ports • desktop-first Adaptive Living World Stage • Figma-free • production gate CLOSED</x:v>
      </x:c>
      <x:c r="E2" s="772" t="str">
        <x:v>Projection-only browser • explicit state machines and ports • desktop-first Adaptive Living World Stage • Figma-free • production gate CLOSED</x:v>
      </x:c>
      <x:c r="F2" s="772" t="str">
        <x:v>Projection-only browser • explicit state machines and ports • desktop-first Adaptive Living World Stage • Figma-free • production gate CLOSED</x:v>
      </x:c>
      <x:c r="G2" s="772" t="str">
        <x:v>Projection-only browser • explicit state machines and ports • desktop-first Adaptive Living World Stage • Figma-free • production gate CLOSED</x:v>
      </x:c>
      <x:c r="H2" s="772" t="str">
        <x:v>Projection-only browser • explicit state machines and ports • desktop-first Adaptive Living World Stage • Figma-free • production gate CLOSED</x:v>
      </x:c>
    </x:row>
    <x:row r="3" ht="24" customHeight="1"/>
    <x:row r="4" ht="36" customHeight="1">
      <x:c r="A4" s="775" t="str">
        <x:v>UI-01 dependency</x:v>
      </x:c>
      <x:c r="B4" s="778" t="str">
        <x:v>Approved and locked · 2026-08-23</x:v>
      </x:c>
      <x:c r="D4" s="837" t="str">
        <x:v>UI-04 APPROVED EVIDENCE</x:v>
      </x:c>
      <x:c r="E4" s="837"/>
      <x:c r="F4" s="837"/>
      <x:c r="G4" s="837"/>
      <x:c r="H4" s="837"/>
    </x:row>
    <x:row r="5" ht="36" customHeight="1">
      <x:c r="A5" s="775" t="str">
        <x:v>UI-02 dependency</x:v>
      </x:c>
      <x:c r="B5" s="778" t="str">
        <x:v>Approved and locked · 2026-08-23</x:v>
      </x:c>
      <x:c r="D5" s="778" t="str">
        <x:v>Architecture decisions</x:v>
      </x:c>
      <x:c r="E5" s="782" t="n">
        <x:f>COUNTA('UI04 Decisions'!A5:A32)</x:f>
        <x:v>28</x:v>
      </x:c>
      <x:c r="G5" s="784" t="str">
        <x:v>THE BROWSER IS NOT THE ENGINE</x:v>
      </x:c>
      <x:c r="H5" s="784"/>
    </x:row>
    <x:row r="6" ht="36" customHeight="1">
      <x:c r="A6" s="775" t="str">
        <x:v>UI-03 dependency</x:v>
      </x:c>
      <x:c r="B6" s="778" t="str">
        <x:v>Approved and locked · 2026-08-23</x:v>
      </x:c>
      <x:c r="D6" s="778" t="str">
        <x:v>Dependency layers</x:v>
      </x:c>
      <x:c r="E6" s="782" t="n">
        <x:f>COUNTA('UI04 Layer Ownership'!A5:A12)</x:f>
        <x:v>8</x:v>
      </x:c>
      <x:c r="G6" s="785" t="str">
        <x:v>Only validated viewpoint-safe projections enter client stores. Drafts remain separate. Idempotency is durable before send. Unknown commits resolve before retry. Ordered cursor gaps pause mutation. Protected media audit stays server-side. Art may fail without losing legal play.</x:v>
      </x:c>
      <x:c r="H6" s="785"/>
    </x:row>
    <x:row r="7" ht="36" customHeight="1">
      <x:c r="A7" s="775" t="str">
        <x:v>UI-04 status</x:v>
      </x:c>
      <x:c r="B7" s="778" t="str">
        <x:v>Approved and locked · 2026-08-23</x:v>
      </x:c>
      <x:c r="D7" s="778" t="str">
        <x:v>Routes</x:v>
      </x:c>
      <x:c r="E7" s="782" t="n">
        <x:f>COUNTA('UI04 Route Composition'!A5:A18)</x:f>
        <x:v>14</x:v>
      </x:c>
      <x:c r="G7" s="785"/>
      <x:c r="H7" s="785"/>
    </x:row>
    <x:row r="8" ht="36" customHeight="1">
      <x:c r="A8" s="775" t="str">
        <x:v>Architecture posture</x:v>
      </x:c>
      <x:c r="B8" s="778" t="str">
        <x:v>Stack-neutral boundaries; strict TypeScript reference execution profile</x:v>
      </x:c>
      <x:c r="D8" s="778" t="str">
        <x:v>State machines</x:v>
      </x:c>
      <x:c r="E8" s="782" t="n">
        <x:f>COUNTA('UI04 State Machines'!A5:A14)</x:f>
        <x:v>10</x:v>
      </x:c>
      <x:c r="G8" s="785"/>
      <x:c r="H8" s="785"/>
    </x:row>
    <x:row r="9" ht="36" customHeight="1">
      <x:c r="A9" s="775" t="str">
        <x:v>Canonical authority</x:v>
      </x:c>
      <x:c r="B9" s="778" t="str">
        <x:v>Server receipts/events only; no optimistic canon</x:v>
      </x:c>
      <x:c r="D9" s="778" t="str">
        <x:v>Ports</x:v>
      </x:c>
      <x:c r="E9" s="782" t="n">
        <x:f>COUNTA('UI04 Port Matrix'!A5:A20)</x:f>
        <x:v>16</x:v>
      </x:c>
      <x:c r="G9" s="785"/>
      <x:c r="H9" s="785"/>
    </x:row>
    <x:row r="10" ht="36" customHeight="1">
      <x:c r="A10" s="775" t="str">
        <x:v>Production authorization</x:v>
      </x:c>
      <x:c r="B10" s="778" t="str">
        <x:v>CLOSED</x:v>
      </x:c>
      <x:c r="D10" s="778" t="str">
        <x:v>Approved operations</x:v>
      </x:c>
      <x:c r="E10" s="782" t="n">
        <x:f>COUNTA('UI04 Operation Assignments'!A5:A64)</x:f>
        <x:v>60</x:v>
      </x:c>
      <x:c r="G10" s="785"/>
      <x:c r="H10" s="785"/>
    </x:row>
    <x:row r="11" ht="36" customHeight="1">
      <x:c r="D11" s="778" t="str">
        <x:v>Components/scenarios</x:v>
      </x:c>
      <x:c r="E11" s="782" t="str">
        <x:f>COUNTA('UI04 Component Ownership'!A5:A44)&amp;" / "&amp;COUNTA('UI04 Scenario Trace'!A5:A21)</x:f>
        <x:v>40 / 17</x:v>
      </x:c>
      <x:c r="G11" s="785"/>
      <x:c r="H11" s="785"/>
    </x:row>
    <x:row r="12" ht="36" customHeight="1">
      <x:c r="D12" s="778" t="str">
        <x:v>Execution packets</x:v>
      </x:c>
      <x:c r="E12" s="782" t="n">
        <x:f>COUNTA('UI04 Execution Plan'!A5:A20)</x:f>
        <x:v>16</x:v>
      </x:c>
      <x:c r="G12" s="785"/>
      <x:c r="H12" s="785"/>
    </x:row>
    <x:row r="13" ht="24" customHeight="1"/>
    <x:row r="14" ht="24" customHeight="1">
      <x:c r="A14" s="787" t="str">
        <x:v>UI-04 NONNEGOTIABLES</x:v>
      </x:c>
      <x:c r="B14" s="787"/>
      <x:c r="C14" s="787"/>
      <x:c r="D14" s="787"/>
      <x:c r="E14" s="787"/>
      <x:c r="F14" s="787"/>
      <x:c r="G14" s="787"/>
      <x:c r="H14" s="787"/>
    </x:row>
    <x:row r="15" ht="24" customHeight="1">
      <x:c r="A15" s="793" t="str">
        <x:v>1</x:v>
      </x:c>
      <x:c r="B15" s="794" t="str">
        <x:v>Projection authority</x:v>
      </x:c>
      <x:c r="C15" s="792" t="str">
        <x:v>Client caches are keyed by campaign, viewpoint and version basis; hidden truth is omitted before serialization.</x:v>
      </x:c>
      <x:c r="D15" s="792"/>
      <x:c r="E15" s="792"/>
      <x:c r="F15" s="792"/>
      <x:c r="G15" s="792"/>
      <x:c r="H15" s="792"/>
    </x:row>
    <x:row r="16" ht="24" customHeight="1">
      <x:c r="A16" s="798" t="str">
        <x:v>2</x:v>
      </x:c>
      <x:c r="B16" s="799" t="str">
        <x:v>No optimistic canon</x:v>
      </x:c>
      <x:c r="C16" s="797" t="str">
        <x:v>Only local drafts may be optimistic; time, spend, position, custody, harm, outcome and publication wait for receipts/events.</x:v>
      </x:c>
      <x:c r="D16" s="797"/>
      <x:c r="E16" s="797"/>
      <x:c r="F16" s="797"/>
      <x:c r="G16" s="797"/>
      <x:c r="H16" s="797"/>
    </x:row>
    <x:row r="17" ht="24" customHeight="1">
      <x:c r="A17" s="793" t="str">
        <x:v>3</x:v>
      </x:c>
      <x:c r="B17" s="794" t="str">
        <x:v>Explicit async legality</x:v>
      </x:c>
      <x:c r="C17" s="792" t="str">
        <x:v>Ten state machines own success and exception transitions; components never invent workflow behavior.</x:v>
      </x:c>
      <x:c r="D17" s="792"/>
      <x:c r="E17" s="792"/>
      <x:c r="F17" s="792"/>
      <x:c r="G17" s="792"/>
      <x:c r="H17" s="792"/>
    </x:row>
    <x:row r="18" ht="24" customHeight="1">
      <x:c r="A18" s="798" t="str">
        <x:v>4</x:v>
      </x:c>
      <x:c r="B18" s="799" t="str">
        <x:v>Structural accessibility</x:v>
      </x:c>
      <x:c r="C18" s="797" t="str">
        <x:v>Landmarks, focus, announcements, input parity, localization, forced colors, zoom and reduced motion/data are platform services.</x:v>
      </x:c>
      <x:c r="D18" s="797"/>
      <x:c r="E18" s="797"/>
      <x:c r="F18" s="797"/>
      <x:c r="G18" s="797"/>
      <x:c r="H18" s="797"/>
    </x:row>
    <x:row r="19" ht="24" customHeight="1">
      <x:c r="A19" s="793" t="str">
        <x:v>5</x:v>
      </x:c>
      <x:c r="B19" s="794" t="str">
        <x:v>Durable recovery</x:v>
      </x:c>
      <x:c r="C19" s="792" t="str">
        <x:v>Drafts, idempotency, cursor/checkpoint and public media references survive allowed interruption paths.</x:v>
      </x:c>
      <x:c r="D19" s="792"/>
      <x:c r="E19" s="792"/>
      <x:c r="F19" s="792"/>
      <x:c r="G19" s="792"/>
      <x:c r="H19" s="792"/>
    </x:row>
    <x:row r="20" ht="24" customHeight="1">
      <x:c r="A20" s="798" t="str">
        <x:v>6</x:v>
      </x:c>
      <x:c r="B20" s="799" t="str">
        <x:v>Gate-bound execution</x:v>
      </x:c>
      <x:c r="C20" s="797" t="str">
        <x:v>Sixteen ordered packets and 15 CI/release gates begin only after explicit clean-session implementation authorization; production release remains separate.</x:v>
      </x:c>
      <x:c r="D20" s="797"/>
      <x:c r="E20" s="797"/>
      <x:c r="F20" s="797"/>
      <x:c r="G20" s="797"/>
      <x:c r="H20" s="797"/>
    </x:row>
    <x:row r="21" ht="24" customHeight="1"/>
    <x:row r="22" ht="24" customHeight="1">
      <x:c r="A22" s="838" t="str">
        <x:v>UI-04 APPROVED BOUNDARY</x:v>
      </x:c>
      <x:c r="B22" s="838"/>
      <x:c r="C22" s="838"/>
      <x:c r="D22" s="838"/>
      <x:c r="E22" s="838"/>
      <x:c r="F22" s="838"/>
      <x:c r="G22" s="838"/>
      <x:c r="H22" s="838"/>
    </x:row>
    <x:row r="23" ht="30" customHeight="1">
      <x:c r="A23" s="839" t="str">
        <x:v>Product-owner approval on 2026-08-23 locked the boundaries, routes, machines, ports, operation assignments, stores, recovery behavior, accessibility, privacy, asset integration, performance, observability, test harness, repository responsibilities and ordered execution plan. It authorized final preimplementation handoff assembly and readiness validation. It did not start construction or authorize production deployment or public release; the explicit clean-session Codex implementation gate remains separate.</x:v>
      </x:c>
      <x:c r="B23" s="839"/>
      <x:c r="C23" s="839"/>
      <x:c r="D23" s="839"/>
      <x:c r="E23" s="839"/>
      <x:c r="F23" s="839"/>
      <x:c r="G23" s="839"/>
      <x:c r="H23" s="839"/>
    </x:row>
    <x:row r="24" ht="30" customHeight="1">
      <x:c r="A24" s="839"/>
      <x:c r="B24" s="839"/>
      <x:c r="C24" s="839"/>
      <x:c r="D24" s="839"/>
      <x:c r="E24" s="839"/>
      <x:c r="F24" s="839"/>
      <x:c r="G24" s="839"/>
      <x:c r="H24" s="839"/>
    </x:row>
    <x:row r="25" ht="30" customHeight="1">
      <x:c r="A25" s="839"/>
      <x:c r="B25" s="839"/>
      <x:c r="C25" s="839"/>
      <x:c r="D25" s="839"/>
      <x:c r="E25" s="839"/>
      <x:c r="F25" s="839"/>
      <x:c r="G25" s="839"/>
      <x:c r="H25" s="839"/>
    </x:row>
  </x:sheetData>
  <x:mergeCells>
    <x:mergeCell ref="A1:H1"/>
    <x:mergeCell ref="A2:H2"/>
    <x:mergeCell ref="D4:H4"/>
    <x:mergeCell ref="G5:H5"/>
    <x:mergeCell ref="G6:H12"/>
    <x:mergeCell ref="A14:H14"/>
    <x:mergeCell ref="C15:H15"/>
    <x:mergeCell ref="C16:H16"/>
    <x:mergeCell ref="C17:H17"/>
    <x:mergeCell ref="C18:H18"/>
    <x:mergeCell ref="C19:H19"/>
    <x:mergeCell ref="C20:H20"/>
    <x:mergeCell ref="A22:H22"/>
    <x:mergeCell ref="A23:H25"/>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78" hidden="0" customWidth="1"/>
    <x:col min="4" max="4" width="31" hidden="0" customWidth="1"/>
    <x:col min="5" max="5" width="20" hidden="0" customWidth="1"/>
  </x:cols>
  <x:sheetData>
    <x:row r="1">
      <x:c r="A1" s="768" t="str">
        <x:v>UI-04 • 28 LOCKED-CANDIDATE ARCHITECTURE DECISIONS</x:v>
      </x:c>
      <x:c r="B1" s="768" t="str">
        <x:v>UI-04 • 28 LOCKED-CANDIDATE ARCHITECTURE DECISIONS</x:v>
      </x:c>
      <x:c r="C1" s="768" t="str">
        <x:v>UI-04 • 28 LOCKED-CANDIDATE ARCHITECTURE DECISIONS</x:v>
      </x:c>
      <x:c r="D1" s="768" t="str">
        <x:v>UI-04 • 28 LOCKED-CANDIDATE ARCHITECTURE DECISIONS</x:v>
      </x:c>
      <x:c r="E1" s="768" t="str">
        <x:v>UI-04 • 28 LOCKED-CANDIDATE ARCHITECTURE DECISIONS</x:v>
      </x:c>
    </x:row>
    <x:row r="2">
      <x:c r="A2" s="772" t="str">
        <x:v>Each decision preserves approved product/contract authority while keeping framework and provider adapters replaceable</x:v>
      </x:c>
      <x:c r="B2" s="772" t="str">
        <x:v>Each decision preserves approved product/contract authority while keeping framework and provider adapters replaceable</x:v>
      </x:c>
      <x:c r="C2" s="772" t="str">
        <x:v>Each decision preserves approved product/contract authority while keeping framework and provider adapters replaceable</x:v>
      </x:c>
      <x:c r="D2" s="772" t="str">
        <x:v>Each decision preserves approved product/contract authority while keeping framework and provider adapters replaceable</x:v>
      </x:c>
      <x:c r="E2" s="772" t="str">
        <x:v>Each decision preserves approved product/contract authority while keeping framework and provider adapters replaceable</x:v>
      </x:c>
    </x:row>
    <x:row r="4">
      <x:c r="A4" s="812" t="str">
        <x:v>ADR</x:v>
      </x:c>
      <x:c r="B4" s="813" t="str">
        <x:v>Decision</x:v>
      </x:c>
      <x:c r="C4" s="813" t="str">
        <x:v>Normative rule</x:v>
      </x:c>
      <x:c r="D4" s="813" t="str">
        <x:v>Trace</x:v>
      </x:c>
      <x:c r="E4" s="814" t="str">
        <x:v>Status</x:v>
      </x:c>
    </x:row>
    <x:row r="5" ht="76" customHeight="1">
      <x:c r="A5" s="792" t="str">
        <x:v>ADR-001</x:v>
      </x:c>
      <x:c r="B5" s="792" t="str">
        <x:v>Projection-only browser</x:v>
      </x:c>
      <x:c r="C5" s="792" t="str">
        <x:v>The client stores and renders only delivered viewpoint-safe projections; it never reconstructs hidden truth or canonical rules.</x:v>
      </x:c>
      <x:c r="D5" s="792" t="str">
        <x:v>PRE-02 · C1–C3</x:v>
      </x:c>
      <x:c r="E5" s="843" t="str">
        <x:v>approved-lock</x:v>
      </x:c>
    </x:row>
    <x:row r="6" ht="76" customHeight="1">
      <x:c r="A6" s="815" t="str">
        <x:v>ADR-002</x:v>
      </x:c>
      <x:c r="B6" s="815" t="str">
        <x:v>Canonical authority remains server-side</x:v>
      </x:c>
      <x:c r="C6" s="815" t="str">
        <x:v>Commands are proposals until an authoritative receipt and ordered event establish committed state.</x:v>
      </x:c>
      <x:c r="D6" s="815" t="str">
        <x:v>PRE-03 · COMMON-004</x:v>
      </x:c>
      <x:c r="E6" s="844" t="str">
        <x:v>approved-lock</x:v>
      </x:c>
    </x:row>
    <x:row r="7" ht="76" customHeight="1">
      <x:c r="A7" s="816" t="str">
        <x:v>ADR-003</x:v>
      </x:c>
      <x:c r="B7" s="816" t="str">
        <x:v>No optimistic canon</x:v>
      </x:c>
      <x:c r="C7" s="816" t="str">
        <x:v>The UI may optimistically reflect local draft interaction, but never displays a canonical outcome, spend, custody change or publication as committed before receipt.</x:v>
      </x:c>
      <x:c r="D7" s="816" t="str">
        <x:v>CMD-004 · C2 commands · C3 media</x:v>
      </x:c>
      <x:c r="E7" s="844" t="str">
        <x:v>approved-lock</x:v>
      </x:c>
    </x:row>
    <x:row r="8" ht="76" customHeight="1">
      <x:c r="A8" s="815" t="str">
        <x:v>ADR-004</x:v>
      </x:c>
      <x:c r="B8" s="815" t="str">
        <x:v>Generated contract boundary</x:v>
      </x:c>
      <x:c r="C8" s="815" t="str">
        <x:v>All network payload types and runtime validators are generated from pinned approved schemas; handwritten duplicate domain models are prohibited.</x:v>
      </x:c>
      <x:c r="D8" s="815" t="str">
        <x:v>PRE-01</x:v>
      </x:c>
      <x:c r="E8" s="844" t="str">
        <x:v>approved-lock</x:v>
      </x:c>
    </x:row>
    <x:row r="9" ht="76" customHeight="1">
      <x:c r="A9" s="816" t="str">
        <x:v>ADR-005</x:v>
      </x:c>
      <x:c r="B9" s="816" t="str">
        <x:v>Version basis is mandatory</x:v>
      </x:c>
      <x:c r="C9" s="816" t="str">
        <x:v>Campaign, viewpoint, contract version, state version, Knowledge Snapshot and freshness stay attached to route projections and commands.</x:v>
      </x:c>
      <x:c r="D9" s="816" t="str">
        <x:v>COMMON-001–003</x:v>
      </x:c>
      <x:c r="E9" s="844" t="str">
        <x:v>approved-lock</x:v>
      </x:c>
    </x:row>
    <x:row r="10" ht="76" customHeight="1">
      <x:c r="A10" s="815" t="str">
        <x:v>ADR-006</x:v>
      </x:c>
      <x:c r="B10" s="815" t="str">
        <x:v>Idempotency before transport</x:v>
      </x:c>
      <x:c r="C10" s="815" t="str">
        <x:v>A mutation receives and durably records an idempotency key before the first send; unknown commit resolves by lookup before retry.</x:v>
      </x:c>
      <x:c r="D10" s="815" t="str">
        <x:v>PRE-03</x:v>
      </x:c>
      <x:c r="E10" s="844" t="str">
        <x:v>approved-lock</x:v>
      </x:c>
    </x:row>
    <x:row r="11" ht="76" customHeight="1">
      <x:c r="A11" s="816" t="str">
        <x:v>ADR-007</x:v>
      </x:c>
      <x:c r="B11" s="816" t="str">
        <x:v>Ordered event reconciliation</x:v>
      </x:c>
      <x:c r="C11" s="816" t="str">
        <x:v>Events are reduced in cursor order; gaps pause mutation, trigger resync and preserve drafts rather than inventing intermediate state.</x:v>
      </x:c>
      <x:c r="D11" s="816" t="str">
        <x:v>PRE-04</x:v>
      </x:c>
      <x:c r="E11" s="844" t="str">
        <x:v>approved-lock</x:v>
      </x:c>
    </x:row>
    <x:row r="12" ht="76" customHeight="1">
      <x:c r="A12" s="815" t="str">
        <x:v>ADR-008</x:v>
      </x:c>
      <x:c r="B12" s="815" t="str">
        <x:v>Server-capable route loaders</x:v>
      </x:c>
      <x:c r="C12" s="815" t="str">
        <x:v>Every route owns a projection loader that can supply a meaningful initial surface before client activation; live updates hydrate through adapters.</x:v>
      </x:c>
      <x:c r="D12" s="815" t="str">
        <x:v>UI-02 · FND-001</x:v>
      </x:c>
      <x:c r="E12" s="844" t="str">
        <x:v>approved-lock</x:v>
      </x:c>
    </x:row>
    <x:row r="13" ht="76" customHeight="1">
      <x:c r="A13" s="816" t="str">
        <x:v>ADR-009</x:v>
      </x:c>
      <x:c r="B13" s="816" t="str">
        <x:v>Route-scoped projection caches</x:v>
      </x:c>
      <x:c r="C13" s="816" t="str">
        <x:v>Normalized public projection envelopes are cached by campaign, viewpoint, contract, resource and state basis; canonical entities are not globally merged across viewpoints.</x:v>
      </x:c>
      <x:c r="D13" s="816" t="str">
        <x:v>PRE-02</x:v>
      </x:c>
      <x:c r="E13" s="844" t="str">
        <x:v>approved-lock</x:v>
      </x:c>
    </x:row>
    <x:row r="14" ht="76" customHeight="1">
      <x:c r="A14" s="815" t="str">
        <x:v>ADR-010</x:v>
      </x:c>
      <x:c r="B14" s="815" t="str">
        <x:v>Drafts are separate from projections</x:v>
      </x:c>
      <x:c r="C14" s="815" t="str">
        <x:v>Intent text, advancement, journey, project and review drafts live in explicit durable draft stores and cannot mutate read models.</x:v>
      </x:c>
      <x:c r="D14" s="815" t="str">
        <x:v>PRE-04</x:v>
      </x:c>
      <x:c r="E14" s="844" t="str">
        <x:v>approved-lock</x:v>
      </x:c>
    </x:row>
    <x:row r="15" ht="76" customHeight="1">
      <x:c r="A15" s="816" t="str">
        <x:v>ADR-011</x:v>
      </x:c>
      <x:c r="B15" s="816" t="str">
        <x:v>State machines own async legality</x:v>
      </x:c>
      <x:c r="C15" s="816" t="str">
        <x:v>Multi-step actions, reconnect, preferences and media workflows use explicit finite state machines with named exception branches.</x:v>
      </x:c>
      <x:c r="D15" s="816" t="str">
        <x:v>UI-04</x:v>
      </x:c>
      <x:c r="E15" s="844" t="str">
        <x:v>approved-lock</x:v>
      </x:c>
    </x:row>
    <x:row r="16" ht="76" customHeight="1">
      <x:c r="A16" s="815" t="str">
        <x:v>ADR-012</x:v>
      </x:c>
      <x:c r="B16" s="815" t="str">
        <x:v>World-first resolution</x:v>
      </x:c>
      <x:c r="C16" s="815" t="str">
        <x:v>Resolution renders world change, causes, costs and unchanged facts before exposing audit detail or Chronicle capture.</x:v>
      </x:c>
      <x:c r="D16" s="815" t="str">
        <x:v>FND-004 · SCN-05</x:v>
      </x:c>
      <x:c r="E16" s="844" t="str">
        <x:v>approved-lock</x:v>
      </x:c>
    </x:row>
    <x:row r="17" ht="76" customHeight="1">
      <x:c r="A17" s="816" t="str">
        <x:v>ADR-013</x:v>
      </x:c>
      <x:c r="B17" s="816" t="str">
        <x:v>Structured Stage, optional art</x:v>
      </x:c>
      <x:c r="C17" s="816" t="str">
        <x:v>People, objects, geography, speech, pressure and legal actions remain semantic structure; raster art can fail without losing play.</x:v>
      </x:c>
      <x:c r="D17" s="816" t="str">
        <x:v>UI-03</x:v>
      </x:c>
      <x:c r="E17" s="844" t="str">
        <x:v>approved-lock</x:v>
      </x:c>
    </x:row>
    <x:row r="18" ht="76" customHeight="1">
      <x:c r="A18" s="815" t="str">
        <x:v>ADR-014</x:v>
      </x:c>
      <x:c r="B18" s="815" t="str">
        <x:v>Semantic map authority</x:v>
      </x:c>
      <x:c r="C18" s="815" t="str">
        <x:v>Routes, knowledge classes, evidence and uncertainty are SVG/HTML plus table equivalents; raster textures never own topology or labels.</x:v>
      </x:c>
      <x:c r="D18" s="815" t="str">
        <x:v>UI-03 · KNO-007</x:v>
      </x:c>
      <x:c r="E18" s="844" t="str">
        <x:v>approved-lock</x:v>
      </x:c>
    </x:row>
    <x:row r="19" ht="76" customHeight="1">
      <x:c r="A19" s="816" t="str">
        <x:v>ADR-015</x:v>
      </x:c>
      <x:c r="B19" s="816" t="str">
        <x:v>Accessibility is infrastructure</x:v>
      </x:c>
      <x:c r="C19" s="816" t="str">
        <x:v>Landmarks, focus, announcements, input equivalence, text scaling, forced colors, reduced motion and reading direction are platform services, not component aftercare.</x:v>
      </x:c>
      <x:c r="D19" s="816" t="str">
        <x:v>PRE-05 · ACC-001–004</x:v>
      </x:c>
      <x:c r="E19" s="844" t="str">
        <x:v>approved-lock</x:v>
      </x:c>
    </x:row>
    <x:row r="20" ht="76" customHeight="1">
      <x:c r="A20" s="815" t="str">
        <x:v>ADR-016</x:v>
      </x:c>
      <x:c r="B20" s="815" t="str">
        <x:v>Announcement deduplication</x:v>
      </x:c>
      <x:c r="C20" s="815" t="str">
        <x:v>Status events announce once per semantic event ID and priority; routine live refresh never steals focus.</x:v>
      </x:c>
      <x:c r="D20" s="815" t="str">
        <x:v>C3-A11Y-001</x:v>
      </x:c>
      <x:c r="E20" s="844" t="str">
        <x:v>approved-lock</x:v>
      </x:c>
    </x:row>
    <x:row r="21" ht="76" customHeight="1">
      <x:c r="A21" s="816" t="str">
        <x:v>ADR-017</x:v>
      </x:c>
      <x:c r="B21" s="816" t="str">
        <x:v>Focus restoration contract</x:v>
      </x:c>
      <x:c r="C21" s="816" t="str">
        <x:v>Route, modal, interruption and recovery transitions declare an explicit focus target and fallback order.</x:v>
      </x:c>
      <x:c r="D21" s="816" t="str">
        <x:v>ACC-002</x:v>
      </x:c>
      <x:c r="E21" s="844" t="str">
        <x:v>approved-lock</x:v>
      </x:c>
    </x:row>
    <x:row r="22" ht="76" customHeight="1">
      <x:c r="A22" s="815" t="str">
        <x:v>ADR-018</x:v>
      </x:c>
      <x:c r="B22" s="815" t="str">
        <x:v>Locale cannot alter authority</x:v>
      </x:c>
      <x:c r="C22" s="815" t="str">
        <x:v>Localization formats and orders approved meaning; contract IDs, legal choices and source facts remain invariant.</x:v>
      </x:c>
      <x:c r="D22" s="815" t="str">
        <x:v>PRE-05</x:v>
      </x:c>
      <x:c r="E22" s="844" t="str">
        <x:v>approved-lock</x:v>
      </x:c>
    </x:row>
    <x:row r="23" ht="76" customHeight="1">
      <x:c r="A23" s="816" t="str">
        <x:v>ADR-019</x:v>
      </x:c>
      <x:c r="B23" s="816" t="str">
        <x:v>Content controls are explicit</x:v>
      </x:c>
      <x:c r="C23" s="816" t="str">
        <x:v>Content profiles are confirmed settings, applied before rendering sensitive presentation and never inferred from prose.</x:v>
      </x:c>
      <x:c r="D23" s="816" t="str">
        <x:v>C3-A11Y-002</x:v>
      </x:c>
      <x:c r="E23" s="844" t="str">
        <x:v>approved-lock</x:v>
      </x:c>
    </x:row>
    <x:row r="24" ht="76" customHeight="1">
      <x:c r="A24" s="815" t="str">
        <x:v>ADR-020</x:v>
      </x:c>
      <x:c r="B24" s="815" t="str">
        <x:v>Durable media orchestration</x:v>
      </x:c>
      <x:c r="C24" s="815" t="str">
        <x:v>Comic work references server-owned queue, checkpoint, provenance, Source Lock and edition records; the client never stores protected audit data or accepted media bytes as authority.</x:v>
      </x:c>
      <x:c r="D24" s="815" t="str">
        <x:v>PRE-06</x:v>
      </x:c>
      <x:c r="E24" s="844" t="str">
        <x:v>approved-lock</x:v>
      </x:c>
    </x:row>
    <x:row r="25" ht="76" customHeight="1">
      <x:c r="A25" s="816" t="str">
        <x:v>ADR-021</x:v>
      </x:c>
      <x:c r="B25" s="816" t="str">
        <x:v>Named-stage progress only</x:v>
      </x:c>
      <x:c r="C25" s="816" t="str">
        <x:v>Media presents durable stages and recovery, never invented percentages or promised ETAs.</x:v>
      </x:c>
      <x:c r="D25" s="816" t="str">
        <x:v>C3-MED-006</x:v>
      </x:c>
      <x:c r="E25" s="844" t="str">
        <x:v>approved-lock</x:v>
      </x:c>
    </x:row>
    <x:row r="26" ht="76" customHeight="1">
      <x:c r="A26" s="815" t="str">
        <x:v>ADR-022</x:v>
      </x:c>
      <x:c r="B26" s="815" t="str">
        <x:v>Immutable published editions</x:v>
      </x:c>
      <x:c r="C26" s="815" t="str">
        <x:v>Corrections create superseding editions; UI never overwrites a published asset or erases lineage.</x:v>
      </x:c>
      <x:c r="D26" s="815" t="str">
        <x:v>C3-MED-007</x:v>
      </x:c>
      <x:c r="E26" s="844" t="str">
        <x:v>approved-lock</x:v>
      </x:c>
    </x:row>
    <x:row r="27" ht="76" customHeight="1">
      <x:c r="A27" s="816" t="str">
        <x:v>ADR-023</x:v>
      </x:c>
      <x:c r="B27" s="816" t="str">
        <x:v>Privacy allowlist telemetry</x:v>
      </x:c>
      <x:c r="C27" s="816" t="str">
        <x:v>Analytics emit only approved coarse categories and technical timings; free text, campaign content, hidden truth, prompts and protected media data are prohibited.</x:v>
      </x:c>
      <x:c r="D27" s="816" t="str">
        <x:v>C3 telemetry</x:v>
      </x:c>
      <x:c r="E27" s="844" t="str">
        <x:v>approved-lock</x:v>
      </x:c>
    </x:row>
    <x:row r="28" ht="76" customHeight="1">
      <x:c r="A28" s="815" t="str">
        <x:v>ADR-024</x:v>
      </x:c>
      <x:c r="B28" s="815" t="str">
        <x:v>Failure is a first-class view</x:v>
      </x:c>
      <x:c r="C28" s="815" t="str">
        <x:v>Loading, empty, stale, conflict, offline, unavailable and provider failure have semantic surfaces and safe actions at route and capability boundaries.</x:v>
      </x:c>
      <x:c r="D28" s="815" t="str">
        <x:v>UI-02 · UI-04</x:v>
      </x:c>
      <x:c r="E28" s="844" t="str">
        <x:v>approved-lock</x:v>
      </x:c>
    </x:row>
    <x:row r="29" ht="76" customHeight="1">
      <x:c r="A29" s="816" t="str">
        <x:v>ADR-025</x:v>
      </x:c>
      <x:c r="B29" s="816" t="str">
        <x:v>Desktop-first adaptive composition</x:v>
      </x:c>
      <x:c r="C29" s="816" t="str">
        <x:v>The desktop shell preserves the Stage as the visual center; below 980px destinations reflow and secondary lenses collapse without losing capability.</x:v>
      </x:c>
      <x:c r="D29" s="816" t="str">
        <x:v>UI-01 · UI-02</x:v>
      </x:c>
      <x:c r="E29" s="844" t="str">
        <x:v>approved-lock</x:v>
      </x:c>
    </x:row>
    <x:row r="30" ht="76" customHeight="1">
      <x:c r="A30" s="815" t="str">
        <x:v>ADR-026</x:v>
      </x:c>
      <x:c r="B30" s="815" t="str">
        <x:v>Current supported implementation versions</x:v>
      </x:c>
      <x:c r="C30" s="815" t="str">
        <x:v>The execution session pins current supported versions after authorization and records them in a lockfile; architecture conformance is vendor-neutral.</x:v>
      </x:c>
      <x:c r="D30" s="815" t="str">
        <x:v>PRE-01</x:v>
      </x:c>
      <x:c r="E30" s="844" t="str">
        <x:v>approved-lock</x:v>
      </x:c>
    </x:row>
    <x:row r="31" ht="76" customHeight="1">
      <x:c r="A31" s="816" t="str">
        <x:v>ADR-027</x:v>
      </x:c>
      <x:c r="B31" s="816" t="str">
        <x:v>Dependency inversion at external systems</x:v>
      </x:c>
      <x:c r="C31" s="816" t="str">
        <x:v>Transport, persistence, media providers, analytics, localization and assets are ports with contract fixtures; components never call vendors directly.</x:v>
      </x:c>
      <x:c r="D31" s="816" t="str">
        <x:v>FND-003</x:v>
      </x:c>
      <x:c r="E31" s="844" t="str">
        <x:v>approved-lock</x:v>
      </x:c>
    </x:row>
    <x:row r="32" ht="76" customHeight="1">
      <x:c r="A32" s="817" t="str">
        <x:v>ADR-028</x:v>
      </x:c>
      <x:c r="B32" s="817" t="str">
        <x:v>Production remains gated</x:v>
      </x:c>
      <x:c r="C32" s="817" t="str">
        <x:v>This package is architecture and executable planning evidence only; it creates no production application, live integration, deployment or publication.</x:v>
      </x:c>
      <x:c r="D32" s="817" t="str">
        <x:v>C4 gate</x:v>
      </x:c>
      <x:c r="E32" s="845" t="str">
        <x:v>approved-lock</x:v>
      </x:c>
    </x:row>
  </x:sheetData>
  <x:mergeCells>
    <x:mergeCell ref="A1:E1"/>
    <x:mergeCell ref="A2:E2"/>
  </x:mergeCells>
  <x:pageMargins left="0.7" right="0.7" top="0.75" bottom="0.75" header="0.3" footer="0.3"/>
  <x:tableParts count="1">
    <x:tablePart xmlns:r="http://schemas.openxmlformats.org/officeDocument/2006/relationships" r:id="Ra635835469ef40f8"/>
  </x:tableParts>
</x:worksheet>
</file>

<file path=xl/worksheets/sheet43.xml><?xml version="1.0" encoding="utf-8"?>
<x:worksheet xmlns:x="http://schemas.openxmlformats.org/spreadsheetml/2006/main">
  <x:sheetViews>
    <x:sheetView showGridLines="0" workbookViewId="0"/>
  </x:sheetViews>
  <x:sheetFormatPr defaultRowHeight="15"/>
  <x:cols>
    <x:col min="1" max="1" width="11" hidden="0" customWidth="1"/>
    <x:col min="2" max="2" width="32" hidden="0" customWidth="1"/>
    <x:col min="3" max="3" width="63" hidden="0" customWidth="1"/>
    <x:col min="4" max="4" width="27" hidden="0" customWidth="1"/>
    <x:col min="5" max="5" width="67" hidden="0" customWidth="1"/>
  </x:cols>
  <x:sheetData>
    <x:row r="1">
      <x:c r="A1" s="768" t="str">
        <x:v>UI-04 • FRONTEND LAYER AND IMPORT BOUNDARIES</x:v>
      </x:c>
      <x:c r="B1" s="768" t="str">
        <x:v>UI-04 • FRONTEND LAYER AND IMPORT BOUNDARIES</x:v>
      </x:c>
      <x:c r="C1" s="768" t="str">
        <x:v>UI-04 • FRONTEND LAYER AND IMPORT BOUNDARIES</x:v>
      </x:c>
      <x:c r="D1" s="768" t="str">
        <x:v>UI-04 • FRONTEND LAYER AND IMPORT BOUNDARIES</x:v>
      </x:c>
      <x:c r="E1" s="768" t="str">
        <x:v>UI-04 • FRONTEND LAYER AND IMPORT BOUNDARIES</x:v>
      </x:c>
    </x:row>
    <x:row r="2">
      <x:c r="A2" s="772" t="str">
        <x:v>Dependency direction is controlled; components do not call vendors or reconstruct engine truth</x:v>
      </x:c>
      <x:c r="B2" s="772" t="str">
        <x:v>Dependency direction is controlled; components do not call vendors or reconstruct engine truth</x:v>
      </x:c>
      <x:c r="C2" s="772" t="str">
        <x:v>Dependency direction is controlled; components do not call vendors or reconstruct engine truth</x:v>
      </x:c>
      <x:c r="D2" s="772" t="str">
        <x:v>Dependency direction is controlled; components do not call vendors or reconstruct engine truth</x:v>
      </x:c>
      <x:c r="E2" s="772" t="str">
        <x:v>Dependency direction is controlled; components do not call vendors or reconstruct engine truth</x:v>
      </x:c>
    </x:row>
    <x:row r="4">
      <x:c r="A4" s="812" t="str">
        <x:v>Layer</x:v>
      </x:c>
      <x:c r="B4" s="813" t="str">
        <x:v>Name</x:v>
      </x:c>
      <x:c r="C4" s="813" t="str">
        <x:v>Owns</x:v>
      </x:c>
      <x:c r="D4" s="813" t="str">
        <x:v>May import</x:v>
      </x:c>
      <x:c r="E4" s="814" t="str">
        <x:v>Prohibited</x:v>
      </x:c>
    </x:row>
    <x:row r="5" ht="82" customHeight="1">
      <x:c r="A5" s="792" t="str">
        <x:v>L0</x:v>
      </x:c>
      <x:c r="B5" s="792" t="str">
        <x:v>Approved contracts and fixtures</x:v>
      </x:c>
      <x:c r="C5" s="792" t="str">
        <x:v>JSON Schema • OpenAPI • AsyncAPI • 127 positive/negative fixtures</x:v>
      </x:c>
      <x:c r="D5" s="792" t="str">
        <x:v>None</x:v>
      </x:c>
      <x:c r="E5" s="792" t="str">
        <x:v>UI code • vendor SDKs • handwritten payload forks</x:v>
      </x:c>
    </x:row>
    <x:row r="6" ht="82" customHeight="1">
      <x:c r="A6" s="815" t="str">
        <x:v>L1</x:v>
      </x:c>
      <x:c r="B6" s="815" t="str">
        <x:v>Generated contract consumers</x:v>
      </x:c>
      <x:c r="C6" s="815" t="str">
        <x:v>TypeScript types • runtime validators • operation/message identifiers • contract-version registry</x:v>
      </x:c>
      <x:c r="D6" s="815" t="str">
        <x:v>L0</x:v>
      </x:c>
      <x:c r="E6" s="815" t="str">
        <x:v>business inference • UI state • network calls</x:v>
      </x:c>
    </x:row>
    <x:row r="7" ht="82" customHeight="1">
      <x:c r="A7" s="816" t="str">
        <x:v>L2</x:v>
      </x:c>
      <x:c r="B7" s="816" t="str">
        <x:v>Platform ports and adapters</x:v>
      </x:c>
      <x:c r="C7" s="816" t="str">
        <x:v>query/command/event transports • durable draft persistence • preferences/localization • assets/media • telemetry • focus/announcements</x:v>
      </x:c>
      <x:c r="D7" s="816" t="str">
        <x:v>L1</x:v>
      </x:c>
      <x:c r="E7" s="816" t="str">
        <x:v>screen composition • hidden fields • canonical reduction</x:v>
      </x:c>
    </x:row>
    <x:row r="8" ht="82" customHeight="1">
      <x:c r="A8" s="815" t="str">
        <x:v>L3</x:v>
      </x:c>
      <x:c r="B8" s="815" t="str">
        <x:v>Projection repositories</x:v>
      </x:c>
      <x:c r="C8" s="815" t="str">
        <x:v>viewpoint-keyed read caches • freshness • state basis • event reconciliation • safe invalidation</x:v>
      </x:c>
      <x:c r="D8" s="815" t="str">
        <x:v>L1, L2</x:v>
      </x:c>
      <x:c r="E8" s="815" t="str">
        <x:v>cross-viewpoint merge • optimistic canon • raw provider data</x:v>
      </x:c>
    </x:row>
    <x:row r="9" ht="82" customHeight="1">
      <x:c r="A9" s="816" t="str">
        <x:v>L4</x:v>
      </x:c>
      <x:c r="B9" s="816" t="str">
        <x:v>Workflow coordinators</x:v>
      </x:c>
      <x:c r="C9" s="816" t="str">
        <x:v>finite state machines • legal transitions • draft lifecycle • receipt/recovery orchestration</x:v>
      </x:c>
      <x:c r="D9" s="816" t="str">
        <x:v>L1, L2, L3</x:v>
      </x:c>
      <x:c r="E9" s="816" t="str">
        <x:v>DOM • visual styling • vendor calls</x:v>
      </x:c>
    </x:row>
    <x:row r="10" ht="82" customHeight="1">
      <x:c r="A10" s="815" t="str">
        <x:v>L5</x:v>
      </x:c>
      <x:c r="B10" s="815" t="str">
        <x:v>UI-01 component library</x:v>
      </x:c>
      <x:c r="C10" s="815" t="str">
        <x:v>40 semantic components • interaction states • responsive behavior • accessible structure</x:v>
      </x:c>
      <x:c r="D10" s="815" t="str">
        <x:v>L1, L4, design tokens, asset descriptors</x:v>
      </x:c>
      <x:c r="E10" s="815" t="str">
        <x:v>direct network calls • canonical rules • protected audit data</x:v>
      </x:c>
    </x:row>
    <x:row r="11" ht="82" customHeight="1">
      <x:c r="A11" s="816" t="str">
        <x:v>L6</x:v>
      </x:c>
      <x:c r="B11" s="816" t="str">
        <x:v>UI-02 routes and screen composition</x:v>
      </x:c>
      <x:c r="C11" s="816" t="str">
        <x:v>14 route families • load boundaries • screen focus targets • progressive disclosure • error boundaries</x:v>
      </x:c>
      <x:c r="D11" s="816" t="str">
        <x:v>L3, L4, L5</x:v>
      </x:c>
      <x:c r="E11" s="816" t="str">
        <x:v>payload parsing outside L1/L3 • duplicate components</x:v>
      </x:c>
    </x:row>
    <x:row r="12" ht="82" customHeight="1">
      <x:c r="A12" s="817" t="str">
        <x:v>L7</x:v>
      </x:c>
      <x:c r="B12" s="817" t="str">
        <x:v>Verification and release harness</x:v>
      </x:c>
      <x:c r="C12" s="817" t="str">
        <x:v>contract/fixture tests • component states • scenario journeys • accessibility/performance/privacy gates</x:v>
      </x:c>
      <x:c r="D12" s="817" t="str">
        <x:v>L0–L6</x:v>
      </x:c>
      <x:c r="E12" s="817" t="str">
        <x:v>production secrets • private campaign truth • gate bypass</x:v>
      </x:c>
    </x:row>
  </x:sheetData>
  <x:mergeCells>
    <x:mergeCell ref="A1:E1"/>
    <x:mergeCell ref="A2:E2"/>
  </x:mergeCells>
  <x:pageMargins left="0.7" right="0.7" top="0.75" bottom="0.75" header="0.3" footer="0.3"/>
  <x:tableParts count="1">
    <x:tablePart xmlns:r="http://schemas.openxmlformats.org/officeDocument/2006/relationships" r:id="R98ab2186976f4d10"/>
  </x:tableParts>
</x:worksheet>
</file>

<file path=xl/worksheets/sheet44.xml><?xml version="1.0" encoding="utf-8"?>
<x:worksheet xmlns:x="http://schemas.openxmlformats.org/spreadsheetml/2006/main">
  <x:sheetViews>
    <x:sheetView showGridLines="0" workbookViewId="0"/>
  </x:sheetViews>
  <x:sheetFormatPr defaultRowHeight="15"/>
  <x:cols>
    <x:col min="1" max="1" width="12" hidden="0" customWidth="1"/>
    <x:col min="2" max="2" width="39" hidden="0" customWidth="1"/>
    <x:col min="3" max="3" width="62" hidden="0" customWidth="1"/>
    <x:col min="4" max="4" width="38" hidden="0" customWidth="1"/>
    <x:col min="5" max="5" width="24" hidden="0" customWidth="1"/>
    <x:col min="6" max="6" width="33" hidden="0" customWidth="1"/>
    <x:col min="7" max="7" width="53" hidden="0" customWidth="1"/>
    <x:col min="8" max="8" width="18" hidden="0" customWidth="1"/>
    <x:col min="9" max="9" width="19" hidden="0" customWidth="1"/>
  </x:cols>
  <x:sheetData>
    <x:row r="1">
      <x:c r="A1" s="768" t="str">
        <x:v>UI-04 • 14 ROUTE COMPOSITIONS</x:v>
      </x:c>
      <x:c r="B1" s="768" t="str">
        <x:v>UI-04 • 14 ROUTE COMPOSITIONS</x:v>
      </x:c>
      <x:c r="C1" s="768" t="str">
        <x:v>UI-04 • 14 ROUTE COMPOSITIONS</x:v>
      </x:c>
      <x:c r="D1" s="768" t="str">
        <x:v>UI-04 • 14 ROUTE COMPOSITIONS</x:v>
      </x:c>
      <x:c r="E1" s="768" t="str">
        <x:v>UI-04 • 14 ROUTE COMPOSITIONS</x:v>
      </x:c>
      <x:c r="F1" s="768" t="str">
        <x:v>UI-04 • 14 ROUTE COMPOSITIONS</x:v>
      </x:c>
      <x:c r="G1" s="768" t="str">
        <x:v>UI-04 • 14 ROUTE COMPOSITIONS</x:v>
      </x:c>
      <x:c r="H1" s="768" t="str">
        <x:v>UI-04 • 14 ROUTE COMPOSITIONS</x:v>
      </x:c>
      <x:c r="I1" s="768" t="str">
        <x:v>UI-04 • 14 ROUTE COMPOSITIONS</x:v>
      </x:c>
    </x:row>
    <x:row r="2">
      <x:c r="A2" s="772" t="str">
        <x:v>Validated route loaders, live inputs, machines, focus, recovery and no-art capability are explicit</x:v>
      </x:c>
      <x:c r="B2" s="772" t="str">
        <x:v>Validated route loaders, live inputs, machines, focus, recovery and no-art capability are explicit</x:v>
      </x:c>
      <x:c r="C2" s="772" t="str">
        <x:v>Validated route loaders, live inputs, machines, focus, recovery and no-art capability are explicit</x:v>
      </x:c>
      <x:c r="D2" s="772" t="str">
        <x:v>Validated route loaders, live inputs, machines, focus, recovery and no-art capability are explicit</x:v>
      </x:c>
      <x:c r="E2" s="772" t="str">
        <x:v>Validated route loaders, live inputs, machines, focus, recovery and no-art capability are explicit</x:v>
      </x:c>
      <x:c r="F2" s="772" t="str">
        <x:v>Validated route loaders, live inputs, machines, focus, recovery and no-art capability are explicit</x:v>
      </x:c>
      <x:c r="G2" s="772" t="str">
        <x:v>Validated route loaders, live inputs, machines, focus, recovery and no-art capability are explicit</x:v>
      </x:c>
      <x:c r="H2" s="772" t="str">
        <x:v>Validated route loaders, live inputs, machines, focus, recovery and no-art capability are explicit</x:v>
      </x:c>
      <x:c r="I2" s="772" t="str">
        <x:v>Validated route loaders, live inputs, machines, focus, recovery and no-art capability are explicit</x:v>
      </x:c>
    </x:row>
    <x:row r="4">
      <x:c r="A4" s="812" t="str">
        <x:v>Screen</x:v>
      </x:c>
      <x:c r="B4" s="813" t="str">
        <x:v>Route</x:v>
      </x:c>
      <x:c r="C4" s="813" t="str">
        <x:v>Loader payloads</x:v>
      </x:c>
      <x:c r="D4" s="813" t="str">
        <x:v>Live inputs</x:v>
      </x:c>
      <x:c r="E4" s="813" t="str">
        <x:v>Machines</x:v>
      </x:c>
      <x:c r="F4" s="813" t="str">
        <x:v>Owned drafts</x:v>
      </x:c>
      <x:c r="G4" s="813" t="str">
        <x:v>Focus entry</x:v>
      </x:c>
      <x:c r="H4" s="813" t="str">
        <x:v>Error boundary</x:v>
      </x:c>
      <x:c r="I4" s="814" t="str">
        <x:v>Status</x:v>
      </x:c>
    </x:row>
    <x:row r="5" ht="88" customHeight="1">
      <x:c r="A5" s="792" t="str">
        <x:v>SCR-01</x:v>
      </x:c>
      <x:c r="B5" s="792" t="str">
        <x:v>/campaigns</x:v>
      </x:c>
      <x:c r="C5" s="792" t="str">
        <x:v>WorldStripStatus, ConnectivityState, StageFrame, IssueZeroAvailability, SaveRecoveryState, Committed events, ChronicleConsequenceBundle, AttentionDigest, Freshness, AccessibilitySemantic, AccessibilityProfile, localization direction, Accessibility announcement, recovery/media events, IntentCapability</x:v>
      </x:c>
      <x:c r="D5" s="792" t="str">
        <x:v>ConnectivityPort</x:v>
      </x:c>
      <x:c r="E5" s="792" t="str">
        <x:v>SM-01, SM-04</x:v>
      </x:c>
      <x:c r="F5" s="792" t="str">
        <x:v>None</x:v>
      </x:c>
      <x:c r="G5" s="792" t="str">
        <x:v>Route h1</x:v>
      </x:c>
      <x:c r="H5" s="792" t="str">
        <x:v>EB-02</x:v>
      </x:c>
      <x:c r="I5" s="843" t="str">
        <x:v>approved</x:v>
      </x:c>
    </x:row>
    <x:row r="6" ht="88" customHeight="1">
      <x:c r="A6" s="815" t="str">
        <x:v>SCR-02</x:v>
      </x:c>
      <x:c r="B6" s="815" t="str">
        <x:v>/campaigns/new</x:v>
      </x:c>
      <x:c r="C6" s="815" t="str">
        <x:v>WorldStripStatus, ConnectivityState, StageFrame, IssueZeroAvailability, SaveRecoveryState, KnowledgeFact, Freshness, Committed events, ChronicleConsequenceBundle, AttentionDigest, Entity action availability, AccessibilitySemantic, AccessibilityProfile, localization direction, Accessibility announcement, recovery/media events, IntentCapability</x:v>
      </x:c>
      <x:c r="D6" s="815" t="str">
        <x:v>ConnectivityPort</x:v>
      </x:c>
      <x:c r="E6" s="815" t="str">
        <x:v>SM-01, SM-09</x:v>
      </x:c>
      <x:c r="F6" s="815" t="str">
        <x:v>campaign-premise</x:v>
      </x:c>
      <x:c r="G6" s="815" t="str">
        <x:v>Route h1</x:v>
      </x:c>
      <x:c r="H6" s="815" t="str">
        <x:v>EB-02</x:v>
      </x:c>
      <x:c r="I6" s="844" t="str">
        <x:v>approved</x:v>
      </x:c>
    </x:row>
    <x:row r="7" ht="88" customHeight="1">
      <x:c r="A7" s="816" t="str">
        <x:v>SCR-03</x:v>
      </x:c>
      <x:c r="B7" s="816" t="str">
        <x:v>/campaigns/new/character</x:v>
      </x:c>
      <x:c r="C7" s="816" t="str">
        <x:v>WorldStripStatus, ConnectivityState, StageFrame, IssueZeroAvailability, SaveRecoveryState, KnowledgeFact, Freshness, IntentCapability, immutable intent commands, Committed events, ChronicleConsequenceBundle, AttentionDigest, Entity action availability, InterpretedProposal, ProposalForecast, CommitAction, permissions, AdvancementDraft, progression events, AccessibilitySemantic, AccessibilityProfile, localization direction, Accessibility announcement, recovery/media events</x:v>
      </x:c>
      <x:c r="D7" s="816" t="str">
        <x:v>ConnectivityPort</x:v>
      </x:c>
      <x:c r="E7" s="816" t="str">
        <x:v>SM-06, SM-10</x:v>
      </x:c>
      <x:c r="F7" s="816" t="str">
        <x:v>character-build, bp-review</x:v>
      </x:c>
      <x:c r="G7" s="816" t="str">
        <x:v>Route h1</x:v>
      </x:c>
      <x:c r="H7" s="816" t="str">
        <x:v>EB-02</x:v>
      </x:c>
      <x:c r="I7" s="844" t="str">
        <x:v>approved</x:v>
      </x:c>
    </x:row>
    <x:row r="8" ht="88" customHeight="1">
      <x:c r="A8" s="815" t="str">
        <x:v>SCR-04</x:v>
      </x:c>
      <x:c r="B8" s="815" t="str">
        <x:v>/campaign/:campaignId/stage</x:v>
      </x:c>
      <x:c r="C8" s="815" t="str">
        <x:v>WorldStripStatus, ConnectivityState, StageFrame, IssueZeroAvailability, SaveRecoveryState, KnowledgeFact, Freshness, EntityContextLens, actor/case projections, IntentCapability, immutable intent commands, Committed events, ChronicleConsequenceBundle, AttentionDigest, SiteRecord, actor status, Projected facts and permissions, Entity action availability, InterpretedProposal, ProposalForecast, CommitAction, permissions, ResolutionBeat, PublicOutcome, command receipt, Decision window event, Decision events, recovery, attention, character/site pressure, KnownWorldMap, JourneyState, AccessibilitySemantic, AccessibilityProfile, localization direction, Accessibility announcement, recovery/media events</x:v>
      </x:c>
      <x:c r="D8" s="815" t="str">
        <x:v>OrderedEventPort, ConnectivityPort, AttentionPort</x:v>
      </x:c>
      <x:c r="E8" s="815" t="str">
        <x:v>SM-01, SM-02, SM-03, SM-04</x:v>
      </x:c>
      <x:c r="F8" s="815" t="str">
        <x:v>intent</x:v>
      </x:c>
      <x:c r="G8" s="815" t="str">
        <x:v>Stage h1, then current world-change summary after resolution</x:v>
      </x:c>
      <x:c r="H8" s="815" t="str">
        <x:v>EB-03</x:v>
      </x:c>
      <x:c r="I8" s="844" t="str">
        <x:v>approved</x:v>
      </x:c>
    </x:row>
    <x:row r="9" ht="88" customHeight="1">
      <x:c r="A9" s="816" t="str">
        <x:v>SCR-05</x:v>
      </x:c>
      <x:c r="B9" s="816" t="str">
        <x:v>/campaign/:campaignId/stage/action</x:v>
      </x:c>
      <x:c r="C9" s="816" t="str">
        <x:v>IntentCapability, immutable intent commands, AttentionDigest, Freshness, SaveRecoveryState, Entity action availability, InterpretedProposal, ProposalForecast, CommitAction, permissions, ResolutionBeat, PublicOutcome, command receipt, Decision window event, StageFrame, Decision events, recovery, attention, AccessibilitySemantic, AccessibilityProfile, localization direction, Accessibility announcement, recovery/media events</x:v>
      </x:c>
      <x:c r="D9" s="816" t="str">
        <x:v>OrderedEventPort, ConnectivityPort, AttentionPort</x:v>
      </x:c>
      <x:c r="E9" s="816" t="str">
        <x:v>SM-02, SM-03</x:v>
      </x:c>
      <x:c r="F9" s="816" t="str">
        <x:v>intent, proposal-review</x:v>
      </x:c>
      <x:c r="G9" s="816" t="str">
        <x:v>Route h1</x:v>
      </x:c>
      <x:c r="H9" s="816" t="str">
        <x:v>EB-03</x:v>
      </x:c>
      <x:c r="I9" s="844" t="str">
        <x:v>approved</x:v>
      </x:c>
    </x:row>
    <x:row r="10" ht="88" customHeight="1">
      <x:c r="A10" s="815" t="str">
        <x:v>SCR-06</x:v>
      </x:c>
      <x:c r="B10" s="815" t="str">
        <x:v>/campaign/:campaignId/stage/danger</x:v>
      </x:c>
      <x:c r="C10" s="815" t="str">
        <x:v>AttentionDigest, Freshness, SaveRecoveryState, StageFrame, SiteRecord, InterpretedProposal, ProposalForecast, CommitAction, permissions, ResolutionBeat, PublicOutcome, command receipt, Decision window event, Decision events, recovery, attention, character/site pressure, CharacterRecord, ContinuationState, AccessibilitySemantic, AccessibilityProfile, localization direction, Accessibility announcement, recovery/media events, IntentCapability</x:v>
      </x:c>
      <x:c r="D10" s="815" t="str">
        <x:v>OrderedEventPort, ConnectivityPort, AttentionPort</x:v>
      </x:c>
      <x:c r="E10" s="815" t="str">
        <x:v>SM-02, SM-03, SM-04</x:v>
      </x:c>
      <x:c r="F10" s="815" t="str">
        <x:v>None</x:v>
      </x:c>
      <x:c r="G10" s="815" t="str">
        <x:v>Route h1</x:v>
      </x:c>
      <x:c r="H10" s="815" t="str">
        <x:v>EB-03</x:v>
      </x:c>
      <x:c r="I10" s="844" t="str">
        <x:v>approved</x:v>
      </x:c>
    </x:row>
    <x:row r="11" ht="88" customHeight="1">
      <x:c r="A11" s="816" t="str">
        <x:v>SCR-07</x:v>
      </x:c>
      <x:c r="B11" s="816" t="str">
        <x:v>/campaign/:campaignId/character</x:v>
      </x:c>
      <x:c r="C11" s="816" t="str">
        <x:v>StageFrame, IssueZeroAvailability, SaveRecoveryState, KnowledgeFact, Freshness, Committed events, ChronicleConsequenceBundle, AttentionDigest, AdvancementDraft, progression events, CharacterRecord, ContinuationState, AccessibilitySemantic, AccessibilityProfile, localization direction, Accessibility announcement, recovery/media events, IntentCapability</x:v>
      </x:c>
      <x:c r="D11" s="816" t="str">
        <x:v>OrderedEventPort, ConnectivityPort, AttentionPort</x:v>
      </x:c>
      <x:c r="E11" s="816" t="str">
        <x:v>SM-06, SM-04</x:v>
      </x:c>
      <x:c r="F11" s="816" t="str">
        <x:v>advancement</x:v>
      </x:c>
      <x:c r="G11" s="816" t="str">
        <x:v>Route h1</x:v>
      </x:c>
      <x:c r="H11" s="816" t="str">
        <x:v>EB-02</x:v>
      </x:c>
      <x:c r="I11" s="844" t="str">
        <x:v>approved</x:v>
      </x:c>
    </x:row>
    <x:row r="12" ht="88" customHeight="1">
      <x:c r="A12" s="815" t="str">
        <x:v>SCR-08</x:v>
      </x:c>
      <x:c r="B12" s="815" t="str">
        <x:v>/campaign/:campaignId/company</x:v>
      </x:c>
      <x:c r="C12" s="815" t="str">
        <x:v>StageFrame, IssueZeroAvailability, SaveRecoveryState, KnowledgeFact, Freshness, Committed events, ChronicleConsequenceBundle, AttentionDigest, CompanyRecord, actor status, RelicRecord, relic events, AccessibilitySemantic, AccessibilityProfile, localization direction, Accessibility announcement, recovery/media events, IntentCapability</x:v>
      </x:c>
      <x:c r="D12" s="815" t="str">
        <x:v>OrderedEventPort, ConnectivityPort, AttentionPort</x:v>
      </x:c>
      <x:c r="E12" s="815" t="str">
        <x:v>SM-03, SM-04</x:v>
      </x:c>
      <x:c r="F12" s="815" t="str">
        <x:v>recruitment-offer, autonomous-action</x:v>
      </x:c>
      <x:c r="G12" s="815" t="str">
        <x:v>Route h1</x:v>
      </x:c>
      <x:c r="H12" s="815" t="str">
        <x:v>EB-02</x:v>
      </x:c>
      <x:c r="I12" s="844" t="str">
        <x:v>approved</x:v>
      </x:c>
    </x:row>
    <x:row r="13" ht="88" customHeight="1">
      <x:c r="A13" s="816" t="str">
        <x:v>SCR-09</x:v>
      </x:c>
      <x:c r="B13" s="816" t="str">
        <x:v>/campaign/:campaignId/holdings</x:v>
      </x:c>
      <x:c r="C13" s="816" t="str">
        <x:v>StageFrame, IssueZeroAvailability, SaveRecoveryState, KnowledgeFact, Freshness, Committed events, ChronicleConsequenceBundle, AttentionDigest, HoldingsRecord, transfer command/event, projected task facts, ProjectRecord, interval commands/events, AccessibilitySemantic, AccessibilityProfile, localization direction, Accessibility announcement, recovery/media events, IntentCapability</x:v>
      </x:c>
      <x:c r="D13" s="816" t="str">
        <x:v>OrderedEventPort, ConnectivityPort, AttentionPort</x:v>
      </x:c>
      <x:c r="E13" s="816" t="str">
        <x:v>SM-07, SM-04</x:v>
      </x:c>
      <x:c r="F13" s="816" t="str">
        <x:v>project-interval, custody-transfer</x:v>
      </x:c>
      <x:c r="G13" s="816" t="str">
        <x:v>Route h1</x:v>
      </x:c>
      <x:c r="H13" s="816" t="str">
        <x:v>EB-02</x:v>
      </x:c>
      <x:c r="I13" s="844" t="str">
        <x:v>approved</x:v>
      </x:c>
    </x:row>
    <x:row r="14" ht="88" customHeight="1">
      <x:c r="A14" s="815" t="str">
        <x:v>SCR-10</x:v>
      </x:c>
      <x:c r="B14" s="815" t="str">
        <x:v>/campaign/:campaignId/world</x:v>
      </x:c>
      <x:c r="C14" s="815" t="str">
        <x:v>StageFrame, IssueZeroAvailability, SaveRecoveryState, KnowledgeFact, Freshness, Committed events, ChronicleConsequenceBundle, AttentionDigest, JourneyState, journey command/event, KnownWorldMap, AccessibilitySemantic, AccessibilityProfile, localization direction, Accessibility announcement, recovery/media events, IntentCapability</x:v>
      </x:c>
      <x:c r="D14" s="815" t="str">
        <x:v>OrderedEventPort, ConnectivityPort, AttentionPort</x:v>
      </x:c>
      <x:c r="E14" s="815" t="str">
        <x:v>SM-08, SM-04</x:v>
      </x:c>
      <x:c r="F14" s="815" t="str">
        <x:v>journey</x:v>
      </x:c>
      <x:c r="G14" s="815" t="str">
        <x:v>Route h1</x:v>
      </x:c>
      <x:c r="H14" s="815" t="str">
        <x:v>EB-02</x:v>
      </x:c>
      <x:c r="I14" s="844" t="str">
        <x:v>approved</x:v>
      </x:c>
    </x:row>
    <x:row r="15" ht="88" customHeight="1">
      <x:c r="A15" s="816" t="str">
        <x:v>SCR-11</x:v>
      </x:c>
      <x:c r="B15" s="816" t="str">
        <x:v>/campaign/:campaignId/world/cases</x:v>
      </x:c>
      <x:c r="C15" s="816" t="str">
        <x:v>StageFrame, IssueZeroAvailability, SaveRecoveryState, KnowledgeFact, Freshness, Committed events, ChronicleConsequenceBundle, AttentionDigest, CaseRecord, FactionFrontLegalRecord, world commands/events, AccessibilitySemantic, AccessibilityProfile, localization direction, Accessibility announcement, recovery/media events, IntentCapability</x:v>
      </x:c>
      <x:c r="D15" s="816" t="str">
        <x:v>OrderedEventPort, ConnectivityPort, AttentionPort</x:v>
      </x:c>
      <x:c r="E15" s="816" t="str">
        <x:v>SM-03, SM-04</x:v>
      </x:c>
      <x:c r="F15" s="816" t="str">
        <x:v>case-claim</x:v>
      </x:c>
      <x:c r="G15" s="816" t="str">
        <x:v>Route h1</x:v>
      </x:c>
      <x:c r="H15" s="816" t="str">
        <x:v>EB-02</x:v>
      </x:c>
      <x:c r="I15" s="844" t="str">
        <x:v>approved</x:v>
      </x:c>
    </x:row>
    <x:row r="16" ht="88" customHeight="1">
      <x:c r="A16" s="815" t="str">
        <x:v>SCR-12</x:v>
      </x:c>
      <x:c r="B16" s="815" t="str">
        <x:v>/campaign/:campaignId/chronicle</x:v>
      </x:c>
      <x:c r="C16" s="815" t="str">
        <x:v>StageFrame, IssueZeroAvailability, SaveRecoveryState, KnowledgeFact, Freshness, Committed events, ChronicleConsequenceBundle, AttentionDigest, PublicOutcome, command receipt, ComicJobRecord, ComicReaderRecord, AccessiblePublicationPackage, AccessibilitySemantic, AccessibilityProfile, localization direction, Accessibility announcement, recovery/media events, IntentCapability</x:v>
      </x:c>
      <x:c r="D16" s="815" t="str">
        <x:v>OrderedEventPort, ConnectivityPort, AttentionPort</x:v>
      </x:c>
      <x:c r="E16" s="815" t="str">
        <x:v>SM-05, SM-04</x:v>
      </x:c>
      <x:c r="F16" s="815" t="str">
        <x:v>inflection-review, comic-qa, correction</x:v>
      </x:c>
      <x:c r="G16" s="815" t="str">
        <x:v>Route h1</x:v>
      </x:c>
      <x:c r="H16" s="815" t="str">
        <x:v>EB-05</x:v>
      </x:c>
      <x:c r="I16" s="844" t="str">
        <x:v>approved</x:v>
      </x:c>
    </x:row>
    <x:row r="17" ht="88" customHeight="1">
      <x:c r="A17" s="816" t="str">
        <x:v>SCR-13</x:v>
      </x:c>
      <x:c r="B17" s="816" t="str">
        <x:v>/campaign/:campaignId/recovery</x:v>
      </x:c>
      <x:c r="C17" s="816" t="str">
        <x:v>WorldStripStatus, ConnectivityState, StageFrame, IssueZeroAvailability, SaveRecoveryState, KnowledgeFact, Freshness, Committed events, ChronicleConsequenceBundle, AttentionDigest, PublicOutcome, command receipt, AccessibilitySemantic, AccessibilityProfile, localization direction, Accessibility announcement, recovery/media events, IntentCapability</x:v>
      </x:c>
      <x:c r="D17" s="816" t="str">
        <x:v>OrderedEventPort, ConnectivityPort, AttentionPort</x:v>
      </x:c>
      <x:c r="E17" s="816" t="str">
        <x:v>SM-04, SM-03</x:v>
      </x:c>
      <x:c r="F17" s="816" t="str">
        <x:v>None</x:v>
      </x:c>
      <x:c r="G17" s="816" t="str">
        <x:v>Route h1</x:v>
      </x:c>
      <x:c r="H17" s="816" t="str">
        <x:v>EB-02</x:v>
      </x:c>
      <x:c r="I17" s="844" t="str">
        <x:v>approved</x:v>
      </x:c>
    </x:row>
    <x:row r="18" ht="88" customHeight="1">
      <x:c r="A18" s="817" t="str">
        <x:v>SCR-14</x:v>
      </x:c>
      <x:c r="B18" s="817" t="str">
        <x:v>/settings</x:v>
      </x:c>
      <x:c r="C18" s="817" t="str">
        <x:v>WorldStripStatus, ConnectivityState, StageFrame, IssueZeroAvailability, SaveRecoveryState, KnowledgeFact, Freshness, Committed events, ChronicleConsequenceBundle, AttentionDigest, AccessibilitySemantic, AccessibilityProfile, localization direction, Accessibility announcement, recovery/media events, IntentCapability</x:v>
      </x:c>
      <x:c r="D18" s="817" t="str">
        <x:v>ConnectivityPort</x:v>
      </x:c>
      <x:c r="E18" s="817" t="str">
        <x:v>SM-10, SM-04</x:v>
      </x:c>
      <x:c r="F18" s="817" t="str">
        <x:v>preference-edit</x:v>
      </x:c>
      <x:c r="G18" s="817" t="str">
        <x:v>Route h1</x:v>
      </x:c>
      <x:c r="H18" s="817" t="str">
        <x:v>EB-02</x:v>
      </x:c>
      <x:c r="I18" s="845" t="str">
        <x:v>approved</x:v>
      </x:c>
    </x:row>
  </x:sheetData>
  <x:mergeCells>
    <x:mergeCell ref="A1:I1"/>
    <x:mergeCell ref="A2:I2"/>
  </x:mergeCells>
  <x:pageMargins left="0.7" right="0.7" top="0.75" bottom="0.75" header="0.3" footer="0.3"/>
  <x:tableParts count="1">
    <x:tablePart xmlns:r="http://schemas.openxmlformats.org/officeDocument/2006/relationships" r:id="R4713ef48760c4be4"/>
  </x:tableParts>
</x:worksheet>
</file>

<file path=xl/worksheets/sheet45.xml><?xml version="1.0" encoding="utf-8"?>
<x:worksheet xmlns:x="http://schemas.openxmlformats.org/spreadsheetml/2006/main">
  <x:sheetViews>
    <x:sheetView showGridLines="0" workbookViewId="0"/>
  </x:sheetViews>
  <x:sheetFormatPr defaultRowHeight="15"/>
  <x:cols>
    <x:col min="1" max="1" width="13" hidden="0" customWidth="1"/>
    <x:col min="2" max="2" width="37" hidden="0" customWidth="1"/>
    <x:col min="3" max="3" width="23" hidden="0" customWidth="1"/>
    <x:col min="4" max="4" width="88" hidden="0" customWidth="1"/>
    <x:col min="5" max="5" width="70" hidden="0" customWidth="1"/>
    <x:col min="6" max="6" width="85" hidden="0" customWidth="1"/>
    <x:col min="7" max="7" width="19" hidden="0" customWidth="1"/>
  </x:cols>
  <x:sheetData>
    <x:row r="1">
      <x:c r="A1" s="768" t="str">
        <x:v>UI-04 • 10 EXPLICIT WORKFLOW STATE MACHINES</x:v>
      </x:c>
      <x:c r="B1" s="768" t="str">
        <x:v>UI-04 • 10 EXPLICIT WORKFLOW STATE MACHINES</x:v>
      </x:c>
      <x:c r="C1" s="768" t="str">
        <x:v>UI-04 • 10 EXPLICIT WORKFLOW STATE MACHINES</x:v>
      </x:c>
      <x:c r="D1" s="768" t="str">
        <x:v>UI-04 • 10 EXPLICIT WORKFLOW STATE MACHINES</x:v>
      </x:c>
      <x:c r="E1" s="768" t="str">
        <x:v>UI-04 • 10 EXPLICIT WORKFLOW STATE MACHINES</x:v>
      </x:c>
      <x:c r="F1" s="768" t="str">
        <x:v>UI-04 • 10 EXPLICIT WORKFLOW STATE MACHINES</x:v>
      </x:c>
      <x:c r="G1" s="768" t="str">
        <x:v>UI-04 • 10 EXPLICIT WORKFLOW STATE MACHINES</x:v>
      </x:c>
    </x:row>
    <x:row r="2">
      <x:c r="A2" s="772" t="str">
        <x:v>Named states and invariants own asynchronous legality, failure and recovery</x:v>
      </x:c>
      <x:c r="B2" s="772" t="str">
        <x:v>Named states and invariants own asynchronous legality, failure and recovery</x:v>
      </x:c>
      <x:c r="C2" s="772" t="str">
        <x:v>Named states and invariants own asynchronous legality, failure and recovery</x:v>
      </x:c>
      <x:c r="D2" s="772" t="str">
        <x:v>Named states and invariants own asynchronous legality, failure and recovery</x:v>
      </x:c>
      <x:c r="E2" s="772" t="str">
        <x:v>Named states and invariants own asynchronous legality, failure and recovery</x:v>
      </x:c>
      <x:c r="F2" s="772" t="str">
        <x:v>Named states and invariants own asynchronous legality, failure and recovery</x:v>
      </x:c>
      <x:c r="G2" s="772" t="str">
        <x:v>Named states and invariants own asynchronous legality, failure and recovery</x:v>
      </x:c>
    </x:row>
    <x:row r="4">
      <x:c r="A4" s="812" t="str">
        <x:v>Machine</x:v>
      </x:c>
      <x:c r="B4" s="813" t="str">
        <x:v>Name</x:v>
      </x:c>
      <x:c r="C4" s="813" t="str">
        <x:v>Initial</x:v>
      </x:c>
      <x:c r="D4" s="813" t="str">
        <x:v>States</x:v>
      </x:c>
      <x:c r="E4" s="813" t="str">
        <x:v>Events</x:v>
      </x:c>
      <x:c r="F4" s="813" t="str">
        <x:v>Invariants</x:v>
      </x:c>
      <x:c r="G4" s="814" t="str">
        <x:v>Status</x:v>
      </x:c>
    </x:row>
    <x:row r="5" ht="106" customHeight="1">
      <x:c r="A5" s="792" t="str">
        <x:v>SM-01</x:v>
      </x:c>
      <x:c r="B5" s="792" t="str">
        <x:v>Application and route readiness</x:v>
      </x:c>
      <x:c r="C5" s="792" t="str">
        <x:v>booting</x:v>
      </x:c>
      <x:c r="D5" s="792" t="str">
        <x:v>booting → validating-session → loading-route → ready → empty → stale → offline-safe → fatal</x:v>
      </x:c>
      <x:c r="E5" s="792" t="str">
        <x:v>SESSION_READY, ROUTE_REQUESTED, PROJECTION_VALID, PROJECTION_EMPTY, PROJECTION_STALE, OFFLINE, RETRY, FATAL</x:v>
      </x:c>
      <x:c r="F5" s="792" t="str">
        <x:v>No unvalidated payload enters L3 • Shell and safe navigation survive route failure • Focus moves only after the destination heading exists</x:v>
      </x:c>
      <x:c r="G5" s="843" t="str">
        <x:v>approved</x:v>
      </x:c>
    </x:row>
    <x:row r="6" ht="106" customHeight="1">
      <x:c r="A6" s="815" t="str">
        <x:v>SM-02</x:v>
      </x:c>
      <x:c r="B6" s="815" t="str">
        <x:v>Intent, interpretation, forecast and commit</x:v>
      </x:c>
      <x:c r="C6" s="815" t="str">
        <x:v>idle</x:v>
      </x:c>
      <x:c r="D6" s="815" t="str">
        <x:v>idle → editing → interpreting → proposal-ready → forecasting → confirmation-required → committing → commit-unknown → resolved → rejected → refused → interrupted → unavailable → replan → conflict → recovering</x:v>
      </x:c>
      <x:c r="E6" s="815" t="str">
        <x:v>EDIT, INTERPRET, PROPOSAL, REVISE, FORECAST, CONFIRM, COMMIT, RECEIPT, RESPONSE_LOST, LOOKUP, RESOLVE, CANCEL</x:v>
      </x:c>
      <x:c r="F6" s="815" t="str">
        <x:v>Forecast is noncanonical • Destructive consequence requires explicit confirmation • Unknown commit lookup precedes retry • Resolution shows world change before audit</x:v>
      </x:c>
      <x:c r="G6" s="844" t="str">
        <x:v>approved</x:v>
      </x:c>
    </x:row>
    <x:row r="7" ht="106" customHeight="1">
      <x:c r="A7" s="816" t="str">
        <x:v>SM-03</x:v>
      </x:c>
      <x:c r="B7" s="816" t="str">
        <x:v>Ordered event reconciliation</x:v>
      </x:c>
      <x:c r="C7" s="816" t="str">
        <x:v>disconnected</x:v>
      </x:c>
      <x:c r="D7" s="816" t="str">
        <x:v>disconnected → connecting → current → gap-detected → resyncing → replaying → conflict → paused</x:v>
      </x:c>
      <x:c r="E7" s="816" t="str">
        <x:v>CONNECT, EVENT, CURSOR_GAP, RESYNC, REPLAY_COMPLETE, CONFLICT, PAUSE, RESUME</x:v>
      </x:c>
      <x:c r="F7" s="816" t="str">
        <x:v>Cursor is monotonic • Gap pauses mutation • Events from another viewpoint are not admitted • Drafts survive resync</x:v>
      </x:c>
      <x:c r="G7" s="844" t="str">
        <x:v>approved</x:v>
      </x:c>
    </x:row>
    <x:row r="8" ht="106" customHeight="1">
      <x:c r="A8" s="815" t="str">
        <x:v>SM-04</x:v>
      </x:c>
      <x:c r="B8" s="815" t="str">
        <x:v>Connectivity, save and recovery</x:v>
      </x:c>
      <x:c r="C8" s="815" t="str">
        <x:v>checking</x:v>
      </x:c>
      <x:c r="D8" s="815" t="str">
        <x:v>checking → online-current → degraded → offline-safe → read-only → save-pending → save-durable → recovery-required → canonical-conflict → unknown-commit → restored</x:v>
      </x:c>
      <x:c r="E8" s="815" t="str">
        <x:v>ONLINE, DEGRADED, OFFLINE, SAVE_REQUESTED, CHECKPOINT, RECOVERY, ACKNOWLEDGE, RETRY, LOOKUP, RESTORE</x:v>
      </x:c>
      <x:c r="F8" s="815" t="str">
        <x:v>Durable checkpoint is never implied • Recovery offers only contract-safe actions • Cold restart retains allowed drafts and queue references</x:v>
      </x:c>
      <x:c r="G8" s="844" t="str">
        <x:v>approved</x:v>
      </x:c>
    </x:row>
    <x:row r="9" ht="106" customHeight="1">
      <x:c r="A9" s="816" t="str">
        <x:v>SM-05</x:v>
      </x:c>
      <x:c r="B9" s="816" t="str">
        <x:v>Comic capture, Source Lock and edition</x:v>
      </x:c>
      <x:c r="C9" s="816" t="str">
        <x:v>capture-available</x:v>
      </x:c>
      <x:c r="D9" s="816" t="str">
        <x:v>capture-available → inflection-review → source-lock-ready → source-locked → queued → producing → provider-blocked → qa-review → qa-rejected → publication-ready → published → correction-requested → superseded</x:v>
      </x:c>
      <x:c r="E9" s="816" t="str">
        <x:v>REVIEW, LOCK, QUEUE, STAGE_CHANGED, PROVIDER_BLOCKED, RECOVER, QA_DISPOSITION, PUBLISH, CORRECT, SUPERSEDE</x:v>
      </x:c>
      <x:c r="F9" s="816" t="str">
        <x:v>Source Lock pins Canon Snapshot and Knowledge Ceiling • Progress uses named stages only • Publication cannot bypass rights, consent, QA or accessibility • Correction creates a new edition</x:v>
      </x:c>
      <x:c r="G9" s="844" t="str">
        <x:v>approved</x:v>
      </x:c>
    </x:row>
    <x:row r="10" ht="106" customHeight="1">
      <x:c r="A10" s="815" t="str">
        <x:v>SM-06</x:v>
      </x:c>
      <x:c r="B10" s="815" t="str">
        <x:v>Character build and advancement</x:v>
      </x:c>
      <x:c r="C10" s="815" t="str">
        <x:v>viewing</x:v>
      </x:c>
      <x:c r="D10" s="815" t="str">
        <x:v>viewing → drafting → validating → legal-draft → illegal-draft → commit-confirmation → committing → conflict → committed</x:v>
      </x:c>
      <x:c r="E10" s="815" t="str">
        <x:v>DRAFT, VALIDATE, LEGAL, ILLEGAL, CONFIRM, COMMIT, CONFLICT, REBASE, RECEIPT</x:v>
      </x:c>
      <x:c r="F10" s="815" t="str">
        <x:v>BP spend is ledger-backed • Draft cannot mutate CharacterRecord • Ordinary zero vitality never implies death • Stale draft must rebase explicitly</x:v>
      </x:c>
      <x:c r="G10" s="844" t="str">
        <x:v>approved</x:v>
      </x:c>
    </x:row>
    <x:row r="11" ht="106" customHeight="1">
      <x:c r="A11" s="816" t="str">
        <x:v>SM-07</x:v>
      </x:c>
      <x:c r="B11" s="816" t="str">
        <x:v>Project interval and custody</x:v>
      </x:c>
      <x:c r="C11" s="816" t="str">
        <x:v>viewing</x:v>
      </x:c>
      <x:c r="D11" s="816" t="str">
        <x:v>viewing → drafting → forecast-ready → confirmation-required → committing → checkpoint-reached → custody-changed → conflict → unavailable</x:v>
      </x:c>
      <x:c r="E11" s="816" t="str">
        <x:v>DRAFT_PROJECT, FORECAST, CONFIRM, COMMIT, CHECKPOINT, TRANSFER, RECEIPT, CONFLICT, UNAVAILABLE</x:v>
      </x:c>
      <x:c r="F11" s="816" t="str">
        <x:v>Custody requires authority • Progress is checkpoint/interval based • Object image never owns quantity, condition or custody</x:v>
      </x:c>
      <x:c r="G11" s="844" t="str">
        <x:v>approved</x:v>
      </x:c>
    </x:row>
    <x:row r="12" ht="106" customHeight="1">
      <x:c r="A12" s="815" t="str">
        <x:v>SM-08</x:v>
      </x:c>
      <x:c r="B12" s="815" t="str">
        <x:v>Journey and known-world exploration</x:v>
      </x:c>
      <x:c r="C12" s="815" t="str">
        <x:v>planning</x:v>
      </x:c>
      <x:c r="D12" s="815" t="str">
        <x:v>planning → drafting-leg → leg-ready → committing → traveling → lost → arrived → interrupted → conflict</x:v>
      </x:c>
      <x:c r="E12" s="815" t="str">
        <x:v>DRAFT, VALIDATE, COMMIT, INTERVAL, LOST, ARRIVE, INTERRUPT, CONFLICT</x:v>
      </x:c>
      <x:c r="F12" s="815" t="str">
        <x:v>Ledger Time advances from receipts/events • Lost state exposes no canonical coordinates • Map geometry obeys knowledge class and has table parity</x:v>
      </x:c>
      <x:c r="G12" s="844" t="str">
        <x:v>approved</x:v>
      </x:c>
    </x:row>
    <x:row r="13" ht="106" customHeight="1">
      <x:c r="A13" s="816" t="str">
        <x:v>SM-09</x:v>
      </x:c>
      <x:c r="B13" s="816" t="str">
        <x:v>Issue Zero onboarding</x:v>
      </x:c>
      <x:c r="C13" s="816" t="str">
        <x:v>availability-check</x:v>
      </x:c>
      <x:c r="D13" s="816" t="str">
        <x:v>availability-check → available → skipped → premise → first-choice-ready → committing → complete → unavailable</x:v>
      </x:c>
      <x:c r="E13" s="816" t="str">
        <x:v>AVAILABLE, SKIP, CONTINUE, CHOICE, COMMIT, COMPLETE, UNAVAILABLE</x:v>
      </x:c>
      <x:c r="F13" s="816" t="str">
        <x:v>Issue Zero never blocks play • First meaningful choice is reachable without lore dump • Premise art promises no hidden truth</x:v>
      </x:c>
      <x:c r="G13" s="844" t="str">
        <x:v>approved</x:v>
      </x:c>
    </x:row>
    <x:row r="14" ht="106" customHeight="1">
      <x:c r="A14" s="817" t="str">
        <x:v>SM-10</x:v>
      </x:c>
      <x:c r="B14" s="817" t="str">
        <x:v>Accessibility, content and localization preferences</x:v>
      </x:c>
      <x:c r="C14" s="817" t="str">
        <x:v>loading</x:v>
      </x:c>
      <x:c r="D14" s="817" t="str">
        <x:v>loading → viewing → editing → previewing → saving → saved → profile-conflict → unsupported-fallback → localization-block</x:v>
      </x:c>
      <x:c r="E14" s="817" t="str">
        <x:v>LOAD, EDIT, PREVIEW, SAVE, RECEIPT, CONFLICT, FALLBACK, BLOCK</x:v>
      </x:c>
      <x:c r="F14" s="817" t="str">
        <x:v>Preferences are explicit, never inferred • Preview changes presentation only • Core action is not drag/pointer/hover only • Localization cannot alter authoritative meaning</x:v>
      </x:c>
      <x:c r="G14" s="845" t="str">
        <x:v>approved</x:v>
      </x:c>
    </x:row>
  </x:sheetData>
  <x:mergeCells>
    <x:mergeCell ref="A1:G1"/>
    <x:mergeCell ref="A2:G2"/>
  </x:mergeCells>
  <x:pageMargins left="0.7" right="0.7" top="0.75" bottom="0.75" header="0.3" footer="0.3"/>
  <x:tableParts count="1">
    <x:tablePart xmlns:r="http://schemas.openxmlformats.org/officeDocument/2006/relationships" r:id="R21d83c29e70448df"/>
  </x:tableParts>
</x:worksheet>
</file>

<file path=xl/worksheets/sheet46.xml><?xml version="1.0" encoding="utf-8"?>
<x:worksheet xmlns:x="http://schemas.openxmlformats.org/spreadsheetml/2006/main">
  <x:sheetViews>
    <x:sheetView showGridLines="0" workbookViewId="0"/>
  </x:sheetViews>
  <x:sheetFormatPr defaultRowHeight="15"/>
  <x:cols>
    <x:col min="1" max="1" width="29" hidden="0" customWidth="1"/>
    <x:col min="2" max="2" width="63" hidden="0" customWidth="1"/>
    <x:col min="3" max="3" width="49" hidden="0" customWidth="1"/>
    <x:col min="4" max="4" width="49" hidden="0" customWidth="1"/>
    <x:col min="5" max="5" width="58" hidden="0" customWidth="1"/>
    <x:col min="6" max="6" width="20" hidden="0" customWidth="1"/>
    <x:col min="7" max="7" width="13" hidden="0" customWidth="1"/>
  </x:cols>
  <x:sheetData>
    <x:row r="1">
      <x:c r="A1" s="768" t="str">
        <x:v>UI-04 • 16 PLATFORM / DOMAIN PORTS</x:v>
      </x:c>
      <x:c r="B1" s="768" t="str">
        <x:v>UI-04 • 16 PLATFORM / DOMAIN PORTS</x:v>
      </x:c>
      <x:c r="C1" s="768" t="str">
        <x:v>UI-04 • 16 PLATFORM / DOMAIN PORTS</x:v>
      </x:c>
      <x:c r="D1" s="768" t="str">
        <x:v>UI-04 • 16 PLATFORM / DOMAIN PORTS</x:v>
      </x:c>
      <x:c r="E1" s="768" t="str">
        <x:v>UI-04 • 16 PLATFORM / DOMAIN PORTS</x:v>
      </x:c>
      <x:c r="F1" s="768" t="str">
        <x:v>UI-04 • 16 PLATFORM / DOMAIN PORTS</x:v>
      </x:c>
      <x:c r="G1" s="768" t="str">
        <x:v>UI-04 • 16 PLATFORM / DOMAIN PORTS</x:v>
      </x:c>
    </x:row>
    <x:row r="2">
      <x:c r="A2" s="772" t="str">
        <x:v>External systems and browser services remain behind fixture-testable, vendor-neutral interfaces</x:v>
      </x:c>
      <x:c r="B2" s="772" t="str">
        <x:v>External systems and browser services remain behind fixture-testable, vendor-neutral interfaces</x:v>
      </x:c>
      <x:c r="C2" s="772" t="str">
        <x:v>External systems and browser services remain behind fixture-testable, vendor-neutral interfaces</x:v>
      </x:c>
      <x:c r="D2" s="772" t="str">
        <x:v>External systems and browser services remain behind fixture-testable, vendor-neutral interfaces</x:v>
      </x:c>
      <x:c r="E2" s="772" t="str">
        <x:v>External systems and browser services remain behind fixture-testable, vendor-neutral interfaces</x:v>
      </x:c>
      <x:c r="F2" s="772" t="str">
        <x:v>External systems and browser services remain behind fixture-testable, vendor-neutral interfaces</x:v>
      </x:c>
      <x:c r="G2" s="772" t="str">
        <x:v>External systems and browser services remain behind fixture-testable, vendor-neutral interfaces</x:v>
      </x:c>
    </x:row>
    <x:row r="4">
      <x:c r="A4" s="812" t="str">
        <x:v>Port</x:v>
      </x:c>
      <x:c r="B4" s="813" t="str">
        <x:v>Responsibility</x:v>
      </x:c>
      <x:c r="C4" s="813" t="str">
        <x:v>Inputs</x:v>
      </x:c>
      <x:c r="D4" s="813" t="str">
        <x:v>Outputs</x:v>
      </x:c>
      <x:c r="E4" s="813" t="str">
        <x:v>Failure behavior</x:v>
      </x:c>
      <x:c r="F4" s="813" t="str">
        <x:v>Prerequisite</x:v>
      </x:c>
      <x:c r="G4" s="814" t="str">
        <x:v>Operations</x:v>
      </x:c>
    </x:row>
    <x:row r="5" ht="88" customHeight="1">
      <x:c r="A5" s="792" t="str">
        <x:v>ContractRegistryPort</x:v>
      </x:c>
      <x:c r="B5" s="792" t="str">
        <x:v>Expose pinned schema/operation/message versions and generated validators.</x:v>
      </x:c>
      <x:c r="C5" s="792" t="str">
        <x:v>approved contract manifests</x:v>
      </x:c>
      <x:c r="D5" s="792" t="str">
        <x:v>version registry • validator lookup</x:v>
      </x:c>
      <x:c r="E5" s="792" t="str">
        <x:v>Fail closed before app activation</x:v>
      </x:c>
      <x:c r="F5" s="792" t="str">
        <x:v>PRE-01</x:v>
      </x:c>
      <x:c r="G5" s="792" t="n">
        <x:v>0</x:v>
      </x:c>
    </x:row>
    <x:row r="6" ht="88" customHeight="1">
      <x:c r="A6" s="815" t="str">
        <x:v>ProjectionQueryPort</x:v>
      </x:c>
      <x:c r="B6" s="815" t="str">
        <x:v>Load viewpoint-safe read projections for routes and capability lenses.</x:v>
      </x:c>
      <x:c r="C6" s="815" t="str">
        <x:v>campaign • viewpoint • resource • projection basis</x:v>
      </x:c>
      <x:c r="D6" s="815" t="str">
        <x:v>validated ReadModelEnvelope</x:v>
      </x:c>
      <x:c r="E6" s="815" t="str">
        <x:v>loading/empty/stale/unavailable route state</x:v>
      </x:c>
      <x:c r="F6" s="815" t="str">
        <x:v>PRE-02</x:v>
      </x:c>
      <x:c r="G6" s="815" t="n">
        <x:v>18</x:v>
      </x:c>
    </x:row>
    <x:row r="7" ht="88" customHeight="1">
      <x:c r="A7" s="816" t="str">
        <x:v>CommandPort</x:v>
      </x:c>
      <x:c r="B7" s="816" t="str">
        <x:v>Send validated, idempotent commands without implying canonical success.</x:v>
      </x:c>
      <x:c r="C7" s="816" t="str">
        <x:v>validated command • durably recorded idempotency key</x:v>
      </x:c>
      <x:c r="D7" s="816" t="str">
        <x:v>validated receipt or response-lost condition</x:v>
      </x:c>
      <x:c r="E7" s="816" t="str">
        <x:v>rejected/refused/interrupted/unavailable/replan/conflict/unknown commit</x:v>
      </x:c>
      <x:c r="F7" s="816" t="str">
        <x:v>PRE-03</x:v>
      </x:c>
      <x:c r="G7" s="816" t="n">
        <x:v>15</x:v>
      </x:c>
    </x:row>
    <x:row r="8" ht="88" customHeight="1">
      <x:c r="A8" s="815" t="str">
        <x:v>ReceiptLookupPort</x:v>
      </x:c>
      <x:c r="B8" s="815" t="str">
        <x:v>Resolve unknown commit status before any retry.</x:v>
      </x:c>
      <x:c r="C8" s="815" t="str">
        <x:v>idempotency key • command ID • source basis</x:v>
      </x:c>
      <x:c r="D8" s="815" t="str">
        <x:v>known receipt or explicit safe recovery</x:v>
      </x:c>
      <x:c r="E8" s="815" t="str">
        <x:v>remain read-only and recovery-visible</x:v>
      </x:c>
      <x:c r="F8" s="815" t="str">
        <x:v>PRE-03</x:v>
      </x:c>
      <x:c r="G8" s="815" t="n">
        <x:v>1</x:v>
      </x:c>
    </x:row>
    <x:row r="9" ht="88" customHeight="1">
      <x:c r="A9" s="816" t="str">
        <x:v>OrderedEventPort</x:v>
      </x:c>
      <x:c r="B9" s="816" t="str">
        <x:v>Deliver viewpoint-filtered events and monotonic cursors.</x:v>
      </x:c>
      <x:c r="C9" s="816" t="str">
        <x:v>campaign • viewpoint • last durable cursor</x:v>
      </x:c>
      <x:c r="D9" s="816" t="str">
        <x:v>validated ordered events</x:v>
      </x:c>
      <x:c r="E9" s="816" t="str">
        <x:v>gap detection, pause and resync</x:v>
      </x:c>
      <x:c r="F9" s="816" t="str">
        <x:v>PRE-04</x:v>
      </x:c>
      <x:c r="G9" s="816" t="n">
        <x:v>0</x:v>
      </x:c>
    </x:row>
    <x:row r="10" ht="88" customHeight="1">
      <x:c r="A10" s="815" t="str">
        <x:v>DraftPersistencePort</x:v>
      </x:c>
      <x:c r="B10" s="815" t="str">
        <x:v>Persist allowed local drafts and mutation envelopes before transport.</x:v>
      </x:c>
      <x:c r="C10" s="815" t="str">
        <x:v>draft type • scope • version • payload</x:v>
      </x:c>
      <x:c r="D10" s="815" t="str">
        <x:v>durable local draft reference</x:v>
      </x:c>
      <x:c r="E10" s="815" t="str">
        <x:v>warn and keep in-memory editing without claiming durability</x:v>
      </x:c>
      <x:c r="F10" s="815" t="str">
        <x:v>PRE-04</x:v>
      </x:c>
      <x:c r="G10" s="815" t="n">
        <x:v>0</x:v>
      </x:c>
    </x:row>
    <x:row r="11" ht="88" customHeight="1">
      <x:c r="A11" s="816" t="str">
        <x:v>ConnectivityPort</x:v>
      </x:c>
      <x:c r="B11" s="816" t="str">
        <x:v>Expose online/degraded/offline-safe/read-only state.</x:v>
      </x:c>
      <x:c r="C11" s="816" t="str">
        <x:v>connectivity events</x:v>
      </x:c>
      <x:c r="D11" s="816" t="str">
        <x:v>validated ConnectivityState</x:v>
      </x:c>
      <x:c r="E11" s="816" t="str">
        <x:v>offline-safe shell</x:v>
      </x:c>
      <x:c r="F11" s="816" t="str">
        <x:v>PRE-04</x:v>
      </x:c>
      <x:c r="G11" s="816" t="n">
        <x:v>1</x:v>
      </x:c>
    </x:row>
    <x:row r="12" ht="88" customHeight="1">
      <x:c r="A12" s="815" t="str">
        <x:v>RecoveryPort</x:v>
      </x:c>
      <x:c r="B12" s="815" t="str">
        <x:v>Load and execute only contract-provided recovery actions.</x:v>
      </x:c>
      <x:c r="C12" s="815" t="str">
        <x:v>recovery ID • action</x:v>
      </x:c>
      <x:c r="D12" s="815" t="str">
        <x:v>validated recovery state/receipt</x:v>
      </x:c>
      <x:c r="E12" s="815" t="str">
        <x:v>stable recovery route and support token</x:v>
      </x:c>
      <x:c r="F12" s="815" t="str">
        <x:v>PRE-04</x:v>
      </x:c>
      <x:c r="G12" s="815" t="n">
        <x:v>3</x:v>
      </x:c>
    </x:row>
    <x:row r="13" ht="88" customHeight="1">
      <x:c r="A13" s="816" t="str">
        <x:v>AttentionPort</x:v>
      </x:c>
      <x:c r="B13" s="816" t="str">
        <x:v>Load delivered public attention items without inferring undelivered facts.</x:v>
      </x:c>
      <x:c r="C13" s="816" t="str">
        <x:v>campaign • viewpoint • delivery basis</x:v>
      </x:c>
      <x:c r="D13" s="816" t="str">
        <x:v>validated AttentionDigest</x:v>
      </x:c>
      <x:c r="E13" s="816" t="str">
        <x:v>empty non-blocking digest with refresh action</x:v>
      </x:c>
      <x:c r="F13" s="816" t="str">
        <x:v>PRE-04</x:v>
      </x:c>
      <x:c r="G13" s="816" t="n">
        <x:v>1</x:v>
      </x:c>
    </x:row>
    <x:row r="14" ht="88" customHeight="1">
      <x:c r="A14" s="815" t="str">
        <x:v>PreferencePort</x:v>
      </x:c>
      <x:c r="B14" s="815" t="str">
        <x:v>Load, preview and commit accessibility/content/localization profiles.</x:v>
      </x:c>
      <x:c r="C14" s="815" t="str">
        <x:v>explicit profile edits</x:v>
      </x:c>
      <x:c r="D14" s="815" t="str">
        <x:v>validated profiles/receipts</x:v>
      </x:c>
      <x:c r="E14" s="815" t="str">
        <x:v>last confirmed profile plus explicit fallback</x:v>
      </x:c>
      <x:c r="F14" s="815" t="str">
        <x:v>PRE-05</x:v>
      </x:c>
      <x:c r="G14" s="815" t="n">
        <x:v>6</x:v>
      </x:c>
    </x:row>
    <x:row r="15" ht="88" customHeight="1">
      <x:c r="A15" s="816" t="str">
        <x:v>LocalizationPort</x:v>
      </x:c>
      <x:c r="B15" s="816" t="str">
        <x:v>Format approved meaning, labels, dates, numbers and reading direction.</x:v>
      </x:c>
      <x:c r="C15" s="816" t="str">
        <x:v>message ID • approved variables • locale</x:v>
      </x:c>
      <x:c r="D15" s="816" t="str">
        <x:v>localized structured text</x:v>
      </x:c>
      <x:c r="E15" s="816" t="str">
        <x:v>approved source-language fallback with diagnostic</x:v>
      </x:c>
      <x:c r="F15" s="816" t="str">
        <x:v>PRE-05</x:v>
      </x:c>
      <x:c r="G15" s="816" t="n">
        <x:v>0</x:v>
      </x:c>
    </x:row>
    <x:row r="16" ht="88" customHeight="1">
      <x:c r="A16" s="815" t="str">
        <x:v>FocusAnnouncementPort</x:v>
      </x:c>
      <x:c r="B16" s="815" t="str">
        <x:v>Apply route focus, restoration and deduplicated status announcements.</x:v>
      </x:c>
      <x:c r="C16" s="815" t="str">
        <x:v>semantic transition • focus target • priority • event ID</x:v>
      </x:c>
      <x:c r="D16" s="815" t="str">
        <x:v>DOM focus/live-region update</x:v>
      </x:c>
      <x:c r="E16" s="815" t="str">
        <x:v>fallback heading focus; visible status remains</x:v>
      </x:c>
      <x:c r="F16" s="815" t="str">
        <x:v>PRE-05</x:v>
      </x:c>
      <x:c r="G16" s="815" t="n">
        <x:v>0</x:v>
      </x:c>
    </x:row>
    <x:row r="17" ht="88" customHeight="1">
      <x:c r="A17" s="816" t="str">
        <x:v>OnboardingPort</x:v>
      </x:c>
      <x:c r="B17" s="816" t="str">
        <x:v>Expose Issue Zero availability and non-blocking skip.</x:v>
      </x:c>
      <x:c r="C17" s="816" t="str">
        <x:v>campaign setup basis</x:v>
      </x:c>
      <x:c r="D17" s="816" t="str">
        <x:v>IssueZeroAvailability</x:v>
      </x:c>
      <x:c r="E17" s="816" t="str">
        <x:v>direct path to legal play</x:v>
      </x:c>
      <x:c r="F17" s="816" t="str">
        <x:v>PRE-05</x:v>
      </x:c>
      <x:c r="G17" s="816" t="n">
        <x:v>1</x:v>
      </x:c>
    </x:row>
    <x:row r="18" ht="88" customHeight="1">
      <x:c r="A18" s="815" t="str">
        <x:v>MediaPort</x:v>
      </x:c>
      <x:c r="B18" s="815" t="str">
        <x:v>Read and command durable capture, Source Lock, job, QA and edition workflows.</x:v>
      </x:c>
      <x:c r="C18" s="815" t="str">
        <x:v>validated media query/command</x:v>
      </x:c>
      <x:c r="D18" s="815" t="str">
        <x:v>public media projections/receipts</x:v>
      </x:c>
      <x:c r="E18" s="815" t="str">
        <x:v>named provider/QA/export recovery without lost queue</x:v>
      </x:c>
      <x:c r="F18" s="815" t="str">
        <x:v>PRE-06</x:v>
      </x:c>
      <x:c r="G18" s="815" t="n">
        <x:v>14</x:v>
      </x:c>
    </x:row>
    <x:row r="19" ht="88" customHeight="1">
      <x:c r="A19" s="816" t="str">
        <x:v>AssetDeliveryPort</x:v>
      </x:c>
      <x:c r="B19" s="816" t="str">
        <x:v>Resolve UI-03 asset descriptors to immutable public derivatives and semantic fallbacks.</x:v>
      </x:c>
      <x:c r="C19" s="816" t="str">
        <x:v>asset ID • approved context/version • presentation preferences</x:v>
      </x:c>
      <x:c r="D19" s="816" t="str">
        <x:v>public URL descriptor or fallback</x:v>
      </x:c>
      <x:c r="E19" s="816" t="str">
        <x:v>semantic fallback; core capability continues</x:v>
      </x:c>
      <x:c r="F19" s="816" t="str">
        <x:v>UI-03</x:v>
      </x:c>
      <x:c r="G19" s="816" t="n">
        <x:v>0</x:v>
      </x:c>
    </x:row>
    <x:row r="20" ht="88" customHeight="1">
      <x:c r="A20" s="817" t="str">
        <x:v>TelemetryPort</x:v>
      </x:c>
      <x:c r="B20" s="817" t="str">
        <x:v>Emit allowlisted coarse events and performance measurements.</x:v>
      </x:c>
      <x:c r="C20" s="817" t="str">
        <x:v>approved category • technical dimensions</x:v>
      </x:c>
      <x:c r="D20" s="817" t="str">
        <x:v>privacy-safe event</x:v>
      </x:c>
      <x:c r="E20" s="817" t="str">
        <x:v>drop telemetry; never block play</x:v>
      </x:c>
      <x:c r="F20" s="817" t="str">
        <x:v>C3 telemetry</x:v>
      </x:c>
      <x:c r="G20" s="817" t="n">
        <x:v>0</x:v>
      </x:c>
    </x:row>
  </x:sheetData>
  <x:mergeCells>
    <x:mergeCell ref="A1:G1"/>
    <x:mergeCell ref="A2:G2"/>
  </x:mergeCells>
  <x:pageMargins left="0.7" right="0.7" top="0.75" bottom="0.75" header="0.3" footer="0.3"/>
  <x:tableParts count="1">
    <x:tablePart xmlns:r="http://schemas.openxmlformats.org/officeDocument/2006/relationships" r:id="Rbd77908cd12e4ba6"/>
  </x:tableParts>
</x:worksheet>
</file>

<file path=xl/worksheets/sheet47.xml><?xml version="1.0" encoding="utf-8"?>
<x:worksheet xmlns:x="http://schemas.openxmlformats.org/spreadsheetml/2006/main">
  <x:sheetViews>
    <x:sheetView showGridLines="0" workbookViewId="0"/>
  </x:sheetViews>
  <x:sheetFormatPr defaultRowHeight="15"/>
  <x:cols>
    <x:col min="1" max="1" width="38" hidden="0" customWidth="1"/>
    <x:col min="2" max="2" width="30" hidden="0" customWidth="1"/>
    <x:col min="3" max="3" width="36" hidden="0" customWidth="1"/>
    <x:col min="4" max="4" width="55" hidden="0" customWidth="1"/>
  </x:cols>
  <x:sheetData>
    <x:row r="1">
      <x:c r="A1" s="768" t="str">
        <x:v>UI-04 • 60 APPROVED OPENAPI OPERATION ASSIGNMENTS</x:v>
      </x:c>
      <x:c r="B1" s="768" t="str">
        <x:v>UI-04 • 60 APPROVED OPENAPI OPERATION ASSIGNMENTS</x:v>
      </x:c>
      <x:c r="C1" s="768" t="str">
        <x:v>UI-04 • 60 APPROVED OPENAPI OPERATION ASSIGNMENTS</x:v>
      </x:c>
      <x:c r="D1" s="768" t="str">
        <x:v>UI-04 • 60 APPROVED OPENAPI OPERATION ASSIGNMENTS</x:v>
      </x:c>
    </x:row>
    <x:row r="2">
      <x:c r="A2" s="772" t="str">
        <x:v>Every approved operation enters through exactly one port and generated runtime validation</x:v>
      </x:c>
      <x:c r="B2" s="772" t="str">
        <x:v>Every approved operation enters through exactly one port and generated runtime validation</x:v>
      </x:c>
      <x:c r="C2" s="772" t="str">
        <x:v>Every approved operation enters through exactly one port and generated runtime validation</x:v>
      </x:c>
      <x:c r="D2" s="772" t="str">
        <x:v>Every approved operation enters through exactly one port and generated runtime validation</x:v>
      </x:c>
    </x:row>
    <x:row r="4">
      <x:c r="A4" s="812" t="str">
        <x:v>Operation</x:v>
      </x:c>
      <x:c r="B4" s="813" t="str">
        <x:v>Port</x:v>
      </x:c>
      <x:c r="C4" s="813" t="str">
        <x:v>Validation</x:v>
      </x:c>
      <x:c r="D4" s="814" t="str">
        <x:v>Version basis</x:v>
      </x:c>
    </x:row>
    <x:row r="5" ht="44" customHeight="1">
      <x:c r="A5" s="792" t="str">
        <x:v>getStageFrame</x:v>
      </x:c>
      <x:c r="B5" s="792" t="str">
        <x:v>ProjectionQueryPort</x:v>
      </x:c>
      <x:c r="C5" s="792" t="str">
        <x:v>Generated runtime validator</x:v>
      </x:c>
      <x:c r="D5" s="792" t="str">
        <x:v>Pinned contract version + request projection basis</x:v>
      </x:c>
    </x:row>
    <x:row r="6" ht="44" customHeight="1">
      <x:c r="A6" s="815" t="str">
        <x:v>getWorldStripStatus</x:v>
      </x:c>
      <x:c r="B6" s="815" t="str">
        <x:v>ProjectionQueryPort</x:v>
      </x:c>
      <x:c r="C6" s="815" t="str">
        <x:v>Generated runtime validator</x:v>
      </x:c>
      <x:c r="D6" s="815" t="str">
        <x:v>Pinned contract version + request projection basis</x:v>
      </x:c>
    </x:row>
    <x:row r="7" ht="44" customHeight="1">
      <x:c r="A7" s="816" t="str">
        <x:v>getEntityContextLens</x:v>
      </x:c>
      <x:c r="B7" s="816" t="str">
        <x:v>ProjectionQueryPort</x:v>
      </x:c>
      <x:c r="C7" s="816" t="str">
        <x:v>Generated runtime validator</x:v>
      </x:c>
      <x:c r="D7" s="816" t="str">
        <x:v>Pinned contract version + request projection basis</x:v>
      </x:c>
    </x:row>
    <x:row r="8" ht="44" customHeight="1">
      <x:c r="A8" s="815" t="str">
        <x:v>getIntentCapability</x:v>
      </x:c>
      <x:c r="B8" s="815" t="str">
        <x:v>ProjectionQueryPort</x:v>
      </x:c>
      <x:c r="C8" s="815" t="str">
        <x:v>Generated runtime validator</x:v>
      </x:c>
      <x:c r="D8" s="815" t="str">
        <x:v>Pinned contract version + request projection basis</x:v>
      </x:c>
    </x:row>
    <x:row r="9" ht="44" customHeight="1">
      <x:c r="A9" s="816" t="str">
        <x:v>interpretIntent</x:v>
      </x:c>
      <x:c r="B9" s="816" t="str">
        <x:v>CommandPort</x:v>
      </x:c>
      <x:c r="C9" s="816" t="str">
        <x:v>Generated runtime validator</x:v>
      </x:c>
      <x:c r="D9" s="816" t="str">
        <x:v>Pinned contract version + request projection basis</x:v>
      </x:c>
    </x:row>
    <x:row r="10" ht="44" customHeight="1">
      <x:c r="A10" s="815" t="str">
        <x:v>reviseProposal</x:v>
      </x:c>
      <x:c r="B10" s="815" t="str">
        <x:v>CommandPort</x:v>
      </x:c>
      <x:c r="C10" s="815" t="str">
        <x:v>Generated runtime validator</x:v>
      </x:c>
      <x:c r="D10" s="815" t="str">
        <x:v>Pinned contract version + request projection basis</x:v>
      </x:c>
    </x:row>
    <x:row r="11" ht="44" customHeight="1">
      <x:c r="A11" s="816" t="str">
        <x:v>forecastProposal</x:v>
      </x:c>
      <x:c r="B11" s="816" t="str">
        <x:v>CommandPort</x:v>
      </x:c>
      <x:c r="C11" s="816" t="str">
        <x:v>Generated runtime validator</x:v>
      </x:c>
      <x:c r="D11" s="816" t="str">
        <x:v>Pinned contract version + request projection basis</x:v>
      </x:c>
    </x:row>
    <x:row r="12" ht="44" customHeight="1">
      <x:c r="A12" s="815" t="str">
        <x:v>commitAction</x:v>
      </x:c>
      <x:c r="B12" s="815" t="str">
        <x:v>CommandPort</x:v>
      </x:c>
      <x:c r="C12" s="815" t="str">
        <x:v>Generated runtime validator</x:v>
      </x:c>
      <x:c r="D12" s="815" t="str">
        <x:v>Pinned contract version + request projection basis</x:v>
      </x:c>
    </x:row>
    <x:row r="13" ht="44" customHeight="1">
      <x:c r="A13" s="816" t="str">
        <x:v>resolveCommitStatus</x:v>
      </x:c>
      <x:c r="B13" s="816" t="str">
        <x:v>ReceiptLookupPort</x:v>
      </x:c>
      <x:c r="C13" s="816" t="str">
        <x:v>Generated runtime validator</x:v>
      </x:c>
      <x:c r="D13" s="816" t="str">
        <x:v>Pinned contract version + request projection basis</x:v>
      </x:c>
    </x:row>
    <x:row r="14" ht="44" customHeight="1">
      <x:c r="A14" s="815" t="str">
        <x:v>getCharacterRecord</x:v>
      </x:c>
      <x:c r="B14" s="815" t="str">
        <x:v>ProjectionQueryPort</x:v>
      </x:c>
      <x:c r="C14" s="815" t="str">
        <x:v>Generated runtime validator</x:v>
      </x:c>
      <x:c r="D14" s="815" t="str">
        <x:v>Pinned contract version + request projection basis</x:v>
      </x:c>
    </x:row>
    <x:row r="15" ht="44" customHeight="1">
      <x:c r="A15" s="816" t="str">
        <x:v>getAdvancementDraft</x:v>
      </x:c>
      <x:c r="B15" s="816" t="str">
        <x:v>ProjectionQueryPort</x:v>
      </x:c>
      <x:c r="C15" s="816" t="str">
        <x:v>Generated runtime validator</x:v>
      </x:c>
      <x:c r="D15" s="816" t="str">
        <x:v>Pinned contract version + request projection basis</x:v>
      </x:c>
    </x:row>
    <x:row r="16" ht="44" customHeight="1">
      <x:c r="A16" s="815" t="str">
        <x:v>getContinuationState</x:v>
      </x:c>
      <x:c r="B16" s="815" t="str">
        <x:v>ProjectionQueryPort</x:v>
      </x:c>
      <x:c r="C16" s="815" t="str">
        <x:v>Generated runtime validator</x:v>
      </x:c>
      <x:c r="D16" s="815" t="str">
        <x:v>Pinned contract version + request projection basis</x:v>
      </x:c>
    </x:row>
    <x:row r="17" ht="44" customHeight="1">
      <x:c r="A17" s="816" t="str">
        <x:v>getCompanyRecord</x:v>
      </x:c>
      <x:c r="B17" s="816" t="str">
        <x:v>ProjectionQueryPort</x:v>
      </x:c>
      <x:c r="C17" s="816" t="str">
        <x:v>Generated runtime validator</x:v>
      </x:c>
      <x:c r="D17" s="816" t="str">
        <x:v>Pinned contract version + request projection basis</x:v>
      </x:c>
    </x:row>
    <x:row r="18" ht="44" customHeight="1">
      <x:c r="A18" s="815" t="str">
        <x:v>getAutonomousActorStatus</x:v>
      </x:c>
      <x:c r="B18" s="815" t="str">
        <x:v>ProjectionQueryPort</x:v>
      </x:c>
      <x:c r="C18" s="815" t="str">
        <x:v>Generated runtime validator</x:v>
      </x:c>
      <x:c r="D18" s="815" t="str">
        <x:v>Pinned contract version + request projection basis</x:v>
      </x:c>
    </x:row>
    <x:row r="19" ht="44" customHeight="1">
      <x:c r="A19" s="816" t="str">
        <x:v>getRelicRecord</x:v>
      </x:c>
      <x:c r="B19" s="816" t="str">
        <x:v>ProjectionQueryPort</x:v>
      </x:c>
      <x:c r="C19" s="816" t="str">
        <x:v>Generated runtime validator</x:v>
      </x:c>
      <x:c r="D19" s="816" t="str">
        <x:v>Pinned contract version + request projection basis</x:v>
      </x:c>
    </x:row>
    <x:row r="20" ht="44" customHeight="1">
      <x:c r="A20" s="815" t="str">
        <x:v>getHoldingsRecord</x:v>
      </x:c>
      <x:c r="B20" s="815" t="str">
        <x:v>ProjectionQueryPort</x:v>
      </x:c>
      <x:c r="C20" s="815" t="str">
        <x:v>Generated runtime validator</x:v>
      </x:c>
      <x:c r="D20" s="815" t="str">
        <x:v>Pinned contract version + request projection basis</x:v>
      </x:c>
    </x:row>
    <x:row r="21" ht="44" customHeight="1">
      <x:c r="A21" s="816" t="str">
        <x:v>getProjectRecord</x:v>
      </x:c>
      <x:c r="B21" s="816" t="str">
        <x:v>ProjectionQueryPort</x:v>
      </x:c>
      <x:c r="C21" s="816" t="str">
        <x:v>Generated runtime validator</x:v>
      </x:c>
      <x:c r="D21" s="816" t="str">
        <x:v>Pinned contract version + request projection basis</x:v>
      </x:c>
    </x:row>
    <x:row r="22" ht="44" customHeight="1">
      <x:c r="A22" s="815" t="str">
        <x:v>getKnownWorldMap</x:v>
      </x:c>
      <x:c r="B22" s="815" t="str">
        <x:v>ProjectionQueryPort</x:v>
      </x:c>
      <x:c r="C22" s="815" t="str">
        <x:v>Generated runtime validator</x:v>
      </x:c>
      <x:c r="D22" s="815" t="str">
        <x:v>Pinned contract version + request projection basis</x:v>
      </x:c>
    </x:row>
    <x:row r="23" ht="44" customHeight="1">
      <x:c r="A23" s="816" t="str">
        <x:v>getJourneyState</x:v>
      </x:c>
      <x:c r="B23" s="816" t="str">
        <x:v>ProjectionQueryPort</x:v>
      </x:c>
      <x:c r="C23" s="816" t="str">
        <x:v>Generated runtime validator</x:v>
      </x:c>
      <x:c r="D23" s="816" t="str">
        <x:v>Pinned contract version + request projection basis</x:v>
      </x:c>
    </x:row>
    <x:row r="24" ht="44" customHeight="1">
      <x:c r="A24" s="815" t="str">
        <x:v>getSiteRecord</x:v>
      </x:c>
      <x:c r="B24" s="815" t="str">
        <x:v>ProjectionQueryPort</x:v>
      </x:c>
      <x:c r="C24" s="815" t="str">
        <x:v>Generated runtime validator</x:v>
      </x:c>
      <x:c r="D24" s="815" t="str">
        <x:v>Pinned contract version + request projection basis</x:v>
      </x:c>
    </x:row>
    <x:row r="25" ht="44" customHeight="1">
      <x:c r="A25" s="816" t="str">
        <x:v>getCaseRecord</x:v>
      </x:c>
      <x:c r="B25" s="816" t="str">
        <x:v>ProjectionQueryPort</x:v>
      </x:c>
      <x:c r="C25" s="816" t="str">
        <x:v>Generated runtime validator</x:v>
      </x:c>
      <x:c r="D25" s="816" t="str">
        <x:v>Pinned contract version + request projection basis</x:v>
      </x:c>
    </x:row>
    <x:row r="26" ht="44" customHeight="1">
      <x:c r="A26" s="815" t="str">
        <x:v>getFactionFrontLegalRecord</x:v>
      </x:c>
      <x:c r="B26" s="815" t="str">
        <x:v>ProjectionQueryPort</x:v>
      </x:c>
      <x:c r="C26" s="815" t="str">
        <x:v>Generated runtime validator</x:v>
      </x:c>
      <x:c r="D26" s="815" t="str">
        <x:v>Pinned contract version + request projection basis</x:v>
      </x:c>
    </x:row>
    <x:row r="27" ht="44" customHeight="1">
      <x:c r="A27" s="816" t="str">
        <x:v>getChronicleConsequenceBundle</x:v>
      </x:c>
      <x:c r="B27" s="816" t="str">
        <x:v>ProjectionQueryPort</x:v>
      </x:c>
      <x:c r="C27" s="816" t="str">
        <x:v>Generated runtime validator</x:v>
      </x:c>
      <x:c r="D27" s="816" t="str">
        <x:v>Pinned contract version + request projection basis</x:v>
      </x:c>
    </x:row>
    <x:row r="28" ht="44" customHeight="1">
      <x:c r="A28" s="815" t="str">
        <x:v>draftAdvancement</x:v>
      </x:c>
      <x:c r="B28" s="815" t="str">
        <x:v>CommandPort</x:v>
      </x:c>
      <x:c r="C28" s="815" t="str">
        <x:v>Generated runtime validator</x:v>
      </x:c>
      <x:c r="D28" s="815" t="str">
        <x:v>Pinned contract version + request projection basis</x:v>
      </x:c>
    </x:row>
    <x:row r="29" ht="44" customHeight="1">
      <x:c r="A29" s="816" t="str">
        <x:v>commitAdvancement</x:v>
      </x:c>
      <x:c r="B29" s="816" t="str">
        <x:v>CommandPort</x:v>
      </x:c>
      <x:c r="C29" s="816" t="str">
        <x:v>Generated runtime validator</x:v>
      </x:c>
      <x:c r="D29" s="816" t="str">
        <x:v>Pinned contract version + request projection basis</x:v>
      </x:c>
    </x:row>
    <x:row r="30" ht="44" customHeight="1">
      <x:c r="A30" s="815" t="str">
        <x:v>submitRecruitmentOffer</x:v>
      </x:c>
      <x:c r="B30" s="815" t="str">
        <x:v>CommandPort</x:v>
      </x:c>
      <x:c r="C30" s="815" t="str">
        <x:v>Generated runtime validator</x:v>
      </x:c>
      <x:c r="D30" s="815" t="str">
        <x:v>Pinned contract version + request projection basis</x:v>
      </x:c>
    </x:row>
    <x:row r="31" ht="44" customHeight="1">
      <x:c r="A31" s="816" t="str">
        <x:v>requestAutonomousActorAction</x:v>
      </x:c>
      <x:c r="B31" s="816" t="str">
        <x:v>CommandPort</x:v>
      </x:c>
      <x:c r="C31" s="816" t="str">
        <x:v>Generated runtime validator</x:v>
      </x:c>
      <x:c r="D31" s="816" t="str">
        <x:v>Pinned contract version + request projection basis</x:v>
      </x:c>
    </x:row>
    <x:row r="32" ht="44" customHeight="1">
      <x:c r="A32" s="815" t="str">
        <x:v>draftJourney</x:v>
      </x:c>
      <x:c r="B32" s="815" t="str">
        <x:v>CommandPort</x:v>
      </x:c>
      <x:c r="C32" s="815" t="str">
        <x:v>Generated runtime validator</x:v>
      </x:c>
      <x:c r="D32" s="815" t="str">
        <x:v>Pinned contract version + request projection basis</x:v>
      </x:c>
    </x:row>
    <x:row r="33" ht="44" customHeight="1">
      <x:c r="A33" s="816" t="str">
        <x:v>commitJourneyLeg</x:v>
      </x:c>
      <x:c r="B33" s="816" t="str">
        <x:v>CommandPort</x:v>
      </x:c>
      <x:c r="C33" s="816" t="str">
        <x:v>Generated runtime validator</x:v>
      </x:c>
      <x:c r="D33" s="816" t="str">
        <x:v>Pinned contract version + request projection basis</x:v>
      </x:c>
    </x:row>
    <x:row r="34" ht="44" customHeight="1">
      <x:c r="A34" s="815" t="str">
        <x:v>draftProjectInterval</x:v>
      </x:c>
      <x:c r="B34" s="815" t="str">
        <x:v>CommandPort</x:v>
      </x:c>
      <x:c r="C34" s="815" t="str">
        <x:v>Generated runtime validator</x:v>
      </x:c>
      <x:c r="D34" s="815" t="str">
        <x:v>Pinned contract version + request projection basis</x:v>
      </x:c>
    </x:row>
    <x:row r="35" ht="44" customHeight="1">
      <x:c r="A35" s="816" t="str">
        <x:v>commitProjectInterval</x:v>
      </x:c>
      <x:c r="B35" s="816" t="str">
        <x:v>CommandPort</x:v>
      </x:c>
      <x:c r="C35" s="816" t="str">
        <x:v>Generated runtime validator</x:v>
      </x:c>
      <x:c r="D35" s="816" t="str">
        <x:v>Pinned contract version + request projection basis</x:v>
      </x:c>
    </x:row>
    <x:row r="36" ht="44" customHeight="1">
      <x:c r="A36" s="815" t="str">
        <x:v>transferCustody</x:v>
      </x:c>
      <x:c r="B36" s="815" t="str">
        <x:v>CommandPort</x:v>
      </x:c>
      <x:c r="C36" s="815" t="str">
        <x:v>Generated runtime validator</x:v>
      </x:c>
      <x:c r="D36" s="815" t="str">
        <x:v>Pinned contract version + request projection basis</x:v>
      </x:c>
    </x:row>
    <x:row r="37" ht="44" customHeight="1">
      <x:c r="A37" s="816" t="str">
        <x:v>recordCaseClaim</x:v>
      </x:c>
      <x:c r="B37" s="816" t="str">
        <x:v>CommandPort</x:v>
      </x:c>
      <x:c r="C37" s="816" t="str">
        <x:v>Generated runtime validator</x:v>
      </x:c>
      <x:c r="D37" s="816" t="str">
        <x:v>Pinned contract version + request projection basis</x:v>
      </x:c>
    </x:row>
    <x:row r="38" ht="44" customHeight="1">
      <x:c r="A38" s="815" t="str">
        <x:v>chooseContinuation</x:v>
      </x:c>
      <x:c r="B38" s="815" t="str">
        <x:v>CommandPort</x:v>
      </x:c>
      <x:c r="C38" s="815" t="str">
        <x:v>Generated runtime validator</x:v>
      </x:c>
      <x:c r="D38" s="815" t="str">
        <x:v>Pinned contract version + request projection basis</x:v>
      </x:c>
    </x:row>
    <x:row r="39" ht="44" customHeight="1">
      <x:c r="A39" s="816" t="str">
        <x:v>getConnectivityState</x:v>
      </x:c>
      <x:c r="B39" s="816" t="str">
        <x:v>ConnectivityPort</x:v>
      </x:c>
      <x:c r="C39" s="816" t="str">
        <x:v>Generated runtime validator</x:v>
      </x:c>
      <x:c r="D39" s="816" t="str">
        <x:v>Pinned contract version + request projection basis</x:v>
      </x:c>
    </x:row>
    <x:row r="40" ht="44" customHeight="1">
      <x:c r="A40" s="815" t="str">
        <x:v>getSaveRecoveryState</x:v>
      </x:c>
      <x:c r="B40" s="815" t="str">
        <x:v>RecoveryPort</x:v>
      </x:c>
      <x:c r="C40" s="815" t="str">
        <x:v>Generated runtime validator</x:v>
      </x:c>
      <x:c r="D40" s="815" t="str">
        <x:v>Pinned contract version + request projection basis</x:v>
      </x:c>
    </x:row>
    <x:row r="41" ht="44" customHeight="1">
      <x:c r="A41" s="816" t="str">
        <x:v>getAttentionDigest</x:v>
      </x:c>
      <x:c r="B41" s="816" t="str">
        <x:v>AttentionPort</x:v>
      </x:c>
      <x:c r="C41" s="816" t="str">
        <x:v>Generated runtime validator</x:v>
      </x:c>
      <x:c r="D41" s="816" t="str">
        <x:v>Pinned contract version + request projection basis</x:v>
      </x:c>
    </x:row>
    <x:row r="42" ht="44" customHeight="1">
      <x:c r="A42" s="815" t="str">
        <x:v>getAccessibilityProfile</x:v>
      </x:c>
      <x:c r="B42" s="815" t="str">
        <x:v>PreferencePort</x:v>
      </x:c>
      <x:c r="C42" s="815" t="str">
        <x:v>Generated runtime validator</x:v>
      </x:c>
      <x:c r="D42" s="815" t="str">
        <x:v>Pinned contract version + request projection basis</x:v>
      </x:c>
    </x:row>
    <x:row r="43" ht="44" customHeight="1">
      <x:c r="A43" s="816" t="str">
        <x:v>getContentControlProfile</x:v>
      </x:c>
      <x:c r="B43" s="816" t="str">
        <x:v>PreferencePort</x:v>
      </x:c>
      <x:c r="C43" s="816" t="str">
        <x:v>Generated runtime validator</x:v>
      </x:c>
      <x:c r="D43" s="816" t="str">
        <x:v>Pinned contract version + request projection basis</x:v>
      </x:c>
    </x:row>
    <x:row r="44" ht="44" customHeight="1">
      <x:c r="A44" s="815" t="str">
        <x:v>getLocalizationProfile</x:v>
      </x:c>
      <x:c r="B44" s="815" t="str">
        <x:v>PreferencePort</x:v>
      </x:c>
      <x:c r="C44" s="815" t="str">
        <x:v>Generated runtime validator</x:v>
      </x:c>
      <x:c r="D44" s="815" t="str">
        <x:v>Pinned contract version + request projection basis</x:v>
      </x:c>
    </x:row>
    <x:row r="45" ht="44" customHeight="1">
      <x:c r="A45" s="816" t="str">
        <x:v>getIssueZeroAvailability</x:v>
      </x:c>
      <x:c r="B45" s="816" t="str">
        <x:v>OnboardingPort</x:v>
      </x:c>
      <x:c r="C45" s="816" t="str">
        <x:v>Generated runtime validator</x:v>
      </x:c>
      <x:c r="D45" s="816" t="str">
        <x:v>Pinned contract version + request projection basis</x:v>
      </x:c>
    </x:row>
    <x:row r="46" ht="44" customHeight="1">
      <x:c r="A46" s="815" t="str">
        <x:v>getComicCaptureRecord</x:v>
      </x:c>
      <x:c r="B46" s="815" t="str">
        <x:v>MediaPort</x:v>
      </x:c>
      <x:c r="C46" s="815" t="str">
        <x:v>Generated runtime validator</x:v>
      </x:c>
      <x:c r="D46" s="815" t="str">
        <x:v>Pinned contract version + request projection basis</x:v>
      </x:c>
    </x:row>
    <x:row r="47" ht="44" customHeight="1">
      <x:c r="A47" s="816" t="str">
        <x:v>getComicInflectionReview</x:v>
      </x:c>
      <x:c r="B47" s="816" t="str">
        <x:v>MediaPort</x:v>
      </x:c>
      <x:c r="C47" s="816" t="str">
        <x:v>Generated runtime validator</x:v>
      </x:c>
      <x:c r="D47" s="816" t="str">
        <x:v>Pinned contract version + request projection basis</x:v>
      </x:c>
    </x:row>
    <x:row r="48" ht="44" customHeight="1">
      <x:c r="A48" s="815" t="str">
        <x:v>getComicSourceLockRecord</x:v>
      </x:c>
      <x:c r="B48" s="815" t="str">
        <x:v>MediaPort</x:v>
      </x:c>
      <x:c r="C48" s="815" t="str">
        <x:v>Generated runtime validator</x:v>
      </x:c>
      <x:c r="D48" s="815" t="str">
        <x:v>Pinned contract version + request projection basis</x:v>
      </x:c>
    </x:row>
    <x:row r="49" ht="44" customHeight="1">
      <x:c r="A49" s="816" t="str">
        <x:v>getComicJobRecord</x:v>
      </x:c>
      <x:c r="B49" s="816" t="str">
        <x:v>MediaPort</x:v>
      </x:c>
      <x:c r="C49" s="816" t="str">
        <x:v>Generated runtime validator</x:v>
      </x:c>
      <x:c r="D49" s="816" t="str">
        <x:v>Pinned contract version + request projection basis</x:v>
      </x:c>
    </x:row>
    <x:row r="50" ht="44" customHeight="1">
      <x:c r="A50" s="815" t="str">
        <x:v>getComicReaderRecord</x:v>
      </x:c>
      <x:c r="B50" s="815" t="str">
        <x:v>MediaPort</x:v>
      </x:c>
      <x:c r="C50" s="815" t="str">
        <x:v>Generated runtime validator</x:v>
      </x:c>
      <x:c r="D50" s="815" t="str">
        <x:v>Pinned contract version + request projection basis</x:v>
      </x:c>
    </x:row>
    <x:row r="51" ht="44" customHeight="1">
      <x:c r="A51" s="816" t="str">
        <x:v>getComicEditionHistory</x:v>
      </x:c>
      <x:c r="B51" s="816" t="str">
        <x:v>MediaPort</x:v>
      </x:c>
      <x:c r="C51" s="816" t="str">
        <x:v>Generated runtime validator</x:v>
      </x:c>
      <x:c r="D51" s="816" t="str">
        <x:v>Pinned contract version + request projection basis</x:v>
      </x:c>
    </x:row>
    <x:row r="52" ht="44" customHeight="1">
      <x:c r="A52" s="815" t="str">
        <x:v>getMediaAssetManifest</x:v>
      </x:c>
      <x:c r="B52" s="815" t="str">
        <x:v>MediaPort</x:v>
      </x:c>
      <x:c r="C52" s="815" t="str">
        <x:v>Generated runtime validator</x:v>
      </x:c>
      <x:c r="D52" s="815" t="str">
        <x:v>Pinned contract version + request projection basis</x:v>
      </x:c>
    </x:row>
    <x:row r="53" ht="44" customHeight="1">
      <x:c r="A53" s="816" t="str">
        <x:v>acknowledgeRecovery</x:v>
      </x:c>
      <x:c r="B53" s="816" t="str">
        <x:v>RecoveryPort</x:v>
      </x:c>
      <x:c r="C53" s="816" t="str">
        <x:v>Generated runtime validator</x:v>
      </x:c>
      <x:c r="D53" s="816" t="str">
        <x:v>Pinned contract version + request projection basis</x:v>
      </x:c>
    </x:row>
    <x:row r="54" ht="44" customHeight="1">
      <x:c r="A54" s="815" t="str">
        <x:v>retryRecovery</x:v>
      </x:c>
      <x:c r="B54" s="815" t="str">
        <x:v>RecoveryPort</x:v>
      </x:c>
      <x:c r="C54" s="815" t="str">
        <x:v>Generated runtime validator</x:v>
      </x:c>
      <x:c r="D54" s="815" t="str">
        <x:v>Pinned contract version + request projection basis</x:v>
      </x:c>
    </x:row>
    <x:row r="55" ht="44" customHeight="1">
      <x:c r="A55" s="816" t="str">
        <x:v>updateAccessibilityProfile</x:v>
      </x:c>
      <x:c r="B55" s="816" t="str">
        <x:v>PreferencePort</x:v>
      </x:c>
      <x:c r="C55" s="816" t="str">
        <x:v>Generated runtime validator</x:v>
      </x:c>
      <x:c r="D55" s="816" t="str">
        <x:v>Pinned contract version + request projection basis</x:v>
      </x:c>
    </x:row>
    <x:row r="56" ht="44" customHeight="1">
      <x:c r="A56" s="815" t="str">
        <x:v>updateContentControlProfile</x:v>
      </x:c>
      <x:c r="B56" s="815" t="str">
        <x:v>PreferencePort</x:v>
      </x:c>
      <x:c r="C56" s="815" t="str">
        <x:v>Generated runtime validator</x:v>
      </x:c>
      <x:c r="D56" s="815" t="str">
        <x:v>Pinned contract version + request projection basis</x:v>
      </x:c>
    </x:row>
    <x:row r="57" ht="44" customHeight="1">
      <x:c r="A57" s="816" t="str">
        <x:v>updateLocalizationProfile</x:v>
      </x:c>
      <x:c r="B57" s="816" t="str">
        <x:v>PreferencePort</x:v>
      </x:c>
      <x:c r="C57" s="816" t="str">
        <x:v>Generated runtime validator</x:v>
      </x:c>
      <x:c r="D57" s="816" t="str">
        <x:v>Pinned contract version + request projection basis</x:v>
      </x:c>
    </x:row>
    <x:row r="58" ht="44" customHeight="1">
      <x:c r="A58" s="815" t="str">
        <x:v>reviewComicInflection</x:v>
      </x:c>
      <x:c r="B58" s="815" t="str">
        <x:v>MediaPort</x:v>
      </x:c>
      <x:c r="C58" s="815" t="str">
        <x:v>Generated runtime validator</x:v>
      </x:c>
      <x:c r="D58" s="815" t="str">
        <x:v>Pinned contract version + request projection basis</x:v>
      </x:c>
    </x:row>
    <x:row r="59" ht="44" customHeight="1">
      <x:c r="A59" s="816" t="str">
        <x:v>createComicSourceLock</x:v>
      </x:c>
      <x:c r="B59" s="816" t="str">
        <x:v>MediaPort</x:v>
      </x:c>
      <x:c r="C59" s="816" t="str">
        <x:v>Generated runtime validator</x:v>
      </x:c>
      <x:c r="D59" s="816" t="str">
        <x:v>Pinned contract version + request projection basis</x:v>
      </x:c>
    </x:row>
    <x:row r="60" ht="44" customHeight="1">
      <x:c r="A60" s="815" t="str">
        <x:v>setComicWipPolicy</x:v>
      </x:c>
      <x:c r="B60" s="815" t="str">
        <x:v>MediaPort</x:v>
      </x:c>
      <x:c r="C60" s="815" t="str">
        <x:v>Generated runtime validator</x:v>
      </x:c>
      <x:c r="D60" s="815" t="str">
        <x:v>Pinned contract version + request projection basis</x:v>
      </x:c>
    </x:row>
    <x:row r="61" ht="44" customHeight="1">
      <x:c r="A61" s="816" t="str">
        <x:v>requestComicJobRecovery</x:v>
      </x:c>
      <x:c r="B61" s="816" t="str">
        <x:v>MediaPort</x:v>
      </x:c>
      <x:c r="C61" s="816" t="str">
        <x:v>Generated runtime validator</x:v>
      </x:c>
      <x:c r="D61" s="816" t="str">
        <x:v>Pinned contract version + request projection basis</x:v>
      </x:c>
    </x:row>
    <x:row r="62" ht="44" customHeight="1">
      <x:c r="A62" s="815" t="str">
        <x:v>submitComicQaDisposition</x:v>
      </x:c>
      <x:c r="B62" s="815" t="str">
        <x:v>MediaPort</x:v>
      </x:c>
      <x:c r="C62" s="815" t="str">
        <x:v>Generated runtime validator</x:v>
      </x:c>
      <x:c r="D62" s="815" t="str">
        <x:v>Pinned contract version + request projection basis</x:v>
      </x:c>
    </x:row>
    <x:row r="63" ht="44" customHeight="1">
      <x:c r="A63" s="816" t="str">
        <x:v>publishComicEdition</x:v>
      </x:c>
      <x:c r="B63" s="816" t="str">
        <x:v>MediaPort</x:v>
      </x:c>
      <x:c r="C63" s="816" t="str">
        <x:v>Generated runtime validator</x:v>
      </x:c>
      <x:c r="D63" s="816" t="str">
        <x:v>Pinned contract version + request projection basis</x:v>
      </x:c>
    </x:row>
    <x:row r="64" ht="44" customHeight="1">
      <x:c r="A64" s="817" t="str">
        <x:v>requestComicCorrection</x:v>
      </x:c>
      <x:c r="B64" s="817" t="str">
        <x:v>MediaPort</x:v>
      </x:c>
      <x:c r="C64" s="817" t="str">
        <x:v>Generated runtime validator</x:v>
      </x:c>
      <x:c r="D64" s="817" t="str">
        <x:v>Pinned contract version + request projection basis</x:v>
      </x:c>
    </x:row>
  </x:sheetData>
  <x:mergeCells>
    <x:mergeCell ref="A1:D1"/>
    <x:mergeCell ref="A2:D2"/>
  </x:mergeCells>
  <x:pageMargins left="0.7" right="0.7" top="0.75" bottom="0.75" header="0.3" footer="0.3"/>
  <x:tableParts count="1">
    <x:tablePart xmlns:r="http://schemas.openxmlformats.org/officeDocument/2006/relationships" r:id="R5fd3cbc544a240af"/>
  </x:tableParts>
</x:worksheet>
</file>

<file path=xl/worksheets/sheet48.xml><?xml version="1.0" encoding="utf-8"?>
<x:worksheet xmlns:x="http://schemas.openxmlformats.org/spreadsheetml/2006/main">
  <x:sheetViews>
    <x:sheetView showGridLines="0" workbookViewId="0"/>
  </x:sheetViews>
  <x:sheetFormatPr defaultRowHeight="15"/>
  <x:cols>
    <x:col min="1" max="1" width="14" hidden="0" customWidth="1"/>
    <x:col min="2" max="2" width="31" hidden="0" customWidth="1"/>
    <x:col min="3" max="3" width="26" hidden="0" customWidth="1"/>
    <x:col min="4" max="4" width="27" hidden="0" customWidth="1"/>
    <x:col min="5" max="5" width="55" hidden="0" customWidth="1"/>
    <x:col min="6" max="6" width="36" hidden="0" customWidth="1"/>
    <x:col min="7" max="7" width="40" hidden="0" customWidth="1"/>
    <x:col min="8" max="8" width="40" hidden="0" customWidth="1"/>
    <x:col min="9" max="9" width="18" hidden="0" customWidth="1"/>
  </x:cols>
  <x:sheetData>
    <x:row r="1">
      <x:c r="A1" s="768" t="str">
        <x:v>UI-04 • 40 COMPONENT OWNERSHIP CONTRACTS</x:v>
      </x:c>
      <x:c r="B1" s="768" t="str">
        <x:v>UI-04 • 40 COMPONENT OWNERSHIP CONTRACTS</x:v>
      </x:c>
      <x:c r="C1" s="768" t="str">
        <x:v>UI-04 • 40 COMPONENT OWNERSHIP CONTRACTS</x:v>
      </x:c>
      <x:c r="D1" s="768" t="str">
        <x:v>UI-04 • 40 COMPONENT OWNERSHIP CONTRACTS</x:v>
      </x:c>
      <x:c r="E1" s="768" t="str">
        <x:v>UI-04 • 40 COMPONENT OWNERSHIP CONTRACTS</x:v>
      </x:c>
      <x:c r="F1" s="768" t="str">
        <x:v>UI-04 • 40 COMPONENT OWNERSHIP CONTRACTS</x:v>
      </x:c>
      <x:c r="G1" s="768" t="str">
        <x:v>UI-04 • 40 COMPONENT OWNERSHIP CONTRACTS</x:v>
      </x:c>
      <x:c r="H1" s="768" t="str">
        <x:v>UI-04 • 40 COMPONENT OWNERSHIP CONTRACTS</x:v>
      </x:c>
      <x:c r="I1" s="768" t="str">
        <x:v>UI-04 • 40 COMPONENT OWNERSHIP CONTRACTS</x:v>
      </x:c>
    </x:row>
    <x:row r="2">
      <x:c r="A2" s="772" t="str">
        <x:v>UI-01 components consume owned projections/workflows; local state is presentation-only and no component calls transport directly</x:v>
      </x:c>
      <x:c r="B2" s="772" t="str">
        <x:v>UI-01 components consume owned projections/workflows; local state is presentation-only and no component calls transport directly</x:v>
      </x:c>
      <x:c r="C2" s="772" t="str">
        <x:v>UI-01 components consume owned projections/workflows; local state is presentation-only and no component calls transport directly</x:v>
      </x:c>
      <x:c r="D2" s="772" t="str">
        <x:v>UI-01 components consume owned projections/workflows; local state is presentation-only and no component calls transport directly</x:v>
      </x:c>
      <x:c r="E2" s="772" t="str">
        <x:v>UI-01 components consume owned projections/workflows; local state is presentation-only and no component calls transport directly</x:v>
      </x:c>
      <x:c r="F2" s="772" t="str">
        <x:v>UI-01 components consume owned projections/workflows; local state is presentation-only and no component calls transport directly</x:v>
      </x:c>
      <x:c r="G2" s="772" t="str">
        <x:v>UI-01 components consume owned projections/workflows; local state is presentation-only and no component calls transport directly</x:v>
      </x:c>
      <x:c r="H2" s="772" t="str">
        <x:v>UI-01 components consume owned projections/workflows; local state is presentation-only and no component calls transport directly</x:v>
      </x:c>
      <x:c r="I2" s="772" t="str">
        <x:v>UI-01 components consume owned projections/workflows; local state is presentation-only and no component calls transport directly</x:v>
      </x:c>
    </x:row>
    <x:row r="4">
      <x:c r="A4" s="812" t="str">
        <x:v>Component</x:v>
      </x:c>
      <x:c r="B4" s="813" t="str">
        <x:v>Name</x:v>
      </x:c>
      <x:c r="C4" s="813" t="str">
        <x:v>Family</x:v>
      </x:c>
      <x:c r="D4" s="813" t="str">
        <x:v>Primary port</x:v>
      </x:c>
      <x:c r="E4" s="813" t="str">
        <x:v>Payloads</x:v>
      </x:c>
      <x:c r="F4" s="813" t="str">
        <x:v>Route owners</x:v>
      </x:c>
      <x:c r="G4" s="813" t="str">
        <x:v>Frontend owner</x:v>
      </x:c>
      <x:c r="H4" s="813" t="str">
        <x:v>Authority owner</x:v>
      </x:c>
      <x:c r="I4" s="814" t="str">
        <x:v>Status</x:v>
      </x:c>
    </x:row>
    <x:row r="5" ht="84" customHeight="1">
      <x:c r="A5" s="792" t="str">
        <x:v>CMP-01</x:v>
      </x:c>
      <x:c r="B5" s="792" t="str">
        <x:v>World Strip</x:v>
      </x:c>
      <x:c r="C5" s="792" t="str">
        <x:v>World shell</x:v>
      </x:c>
      <x:c r="D5" s="792" t="str">
        <x:v>RecoveryPort</x:v>
      </x:c>
      <x:c r="E5" s="792" t="str">
        <x:v>WorldStripStatus, ConnectivityState</x:v>
      </x:c>
      <x:c r="F5" s="792" t="str">
        <x:v>SCR-01, SCR-02, SCR-03, SCR-04, SCR-13, SCR-14</x:v>
      </x:c>
      <x:c r="G5" s="792" t="str">
        <x:v>Shell status adapter</x:v>
      </x:c>
      <x:c r="H5" s="792" t="str">
        <x:v>Knowledge/connectivity projection</x:v>
      </x:c>
      <x:c r="I5" s="843" t="str">
        <x:v>approved</x:v>
      </x:c>
    </x:row>
    <x:row r="6" ht="84" customHeight="1">
      <x:c r="A6" s="815" t="str">
        <x:v>CMP-02</x:v>
      </x:c>
      <x:c r="B6" s="815" t="str">
        <x:v>Campaign Rail</x:v>
      </x:c>
      <x:c r="C6" s="815" t="str">
        <x:v>World shell</x:v>
      </x:c>
      <x:c r="D6" s="815" t="str">
        <x:v>RecoveryPort</x:v>
      </x:c>
      <x:c r="E6" s="815" t="str">
        <x:v>StageFrame, IssueZeroAvailability, SaveRecoveryState</x:v>
      </x:c>
      <x:c r="F6" s="815" t="str">
        <x:v>SCR-01, SCR-02, SCR-03, SCR-04, SCR-07, SCR-08, SCR-09, SCR-10, SCR-11, SCR-12, SCR-13, SCR-14</x:v>
      </x:c>
      <x:c r="G6" s="815" t="str">
        <x:v>App shell navigation</x:v>
      </x:c>
      <x:c r="H6" s="815" t="str">
        <x:v>Campaign routing/recovery</x:v>
      </x:c>
      <x:c r="I6" s="844" t="str">
        <x:v>approved</x:v>
      </x:c>
    </x:row>
    <x:row r="7" ht="84" customHeight="1">
      <x:c r="A7" s="816" t="str">
        <x:v>CMP-03</x:v>
      </x:c>
      <x:c r="B7" s="816" t="str">
        <x:v>Active Surface Header</x:v>
      </x:c>
      <x:c r="C7" s="816" t="str">
        <x:v>World shell</x:v>
      </x:c>
      <x:c r="D7" s="816" t="str">
        <x:v>CommandPort</x:v>
      </x:c>
      <x:c r="E7" s="816" t="str">
        <x:v>StageFrame, KnowledgeFact, Freshness</x:v>
      </x:c>
      <x:c r="F7" s="816" t="str">
        <x:v>SCR-02, SCR-03, SCR-04, SCR-07, SCR-08, SCR-09, SCR-10, SCR-11, SCR-12, SCR-13, SCR-14</x:v>
      </x:c>
      <x:c r="G7" s="816" t="str">
        <x:v>Surface heading adapter</x:v>
      </x:c>
      <x:c r="H7" s="816" t="str">
        <x:v>Knowledge projection</x:v>
      </x:c>
      <x:c r="I7" s="844" t="str">
        <x:v>approved</x:v>
      </x:c>
    </x:row>
    <x:row r="8" ht="84" customHeight="1">
      <x:c r="A8" s="815" t="str">
        <x:v>CMP-04</x:v>
      </x:c>
      <x:c r="B8" s="815" t="str">
        <x:v>Context Lens</x:v>
      </x:c>
      <x:c r="C8" s="815" t="str">
        <x:v>World shell</x:v>
      </x:c>
      <x:c r="D8" s="815" t="str">
        <x:v>CommandPort</x:v>
      </x:c>
      <x:c r="E8" s="815" t="str">
        <x:v>EntityContextLens, actor/case projections</x:v>
      </x:c>
      <x:c r="F8" s="815" t="str">
        <x:v>SCR-04</x:v>
      </x:c>
      <x:c r="G8" s="815" t="str">
        <x:v>Context side panel</x:v>
      </x:c>
      <x:c r="H8" s="815" t="str">
        <x:v>Entity projection</x:v>
      </x:c>
      <x:c r="I8" s="844" t="str">
        <x:v>approved</x:v>
      </x:c>
    </x:row>
    <x:row r="9" ht="84" customHeight="1">
      <x:c r="A9" s="816" t="str">
        <x:v>CMP-05</x:v>
      </x:c>
      <x:c r="B9" s="816" t="str">
        <x:v>Intent Dock</x:v>
      </x:c>
      <x:c r="C9" s="816" t="str">
        <x:v>Core loop</x:v>
      </x:c>
      <x:c r="D9" s="816" t="str">
        <x:v>CommandPort</x:v>
      </x:c>
      <x:c r="E9" s="816" t="str">
        <x:v>IntentCapability, immutable intent commands</x:v>
      </x:c>
      <x:c r="F9" s="816" t="str">
        <x:v>SCR-03, SCR-04, SCR-05</x:v>
      </x:c>
      <x:c r="G9" s="816" t="str">
        <x:v>Intent input controller</x:v>
      </x:c>
      <x:c r="H9" s="816" t="str">
        <x:v>Intent interpreter</x:v>
      </x:c>
      <x:c r="I9" s="844" t="str">
        <x:v>approved</x:v>
      </x:c>
    </x:row>
    <x:row r="10" ht="84" customHeight="1">
      <x:c r="A10" s="815" t="str">
        <x:v>CMP-06</x:v>
      </x:c>
      <x:c r="B10" s="815" t="str">
        <x:v>Chronicle Ribbon</x:v>
      </x:c>
      <x:c r="C10" s="815" t="str">
        <x:v>World shell</x:v>
      </x:c>
      <x:c r="D10" s="815" t="str">
        <x:v>CommandPort</x:v>
      </x:c>
      <x:c r="E10" s="815" t="str">
        <x:v>Committed events, ChronicleConsequenceBundle</x:v>
      </x:c>
      <x:c r="F10" s="815" t="str">
        <x:v>SCR-01, SCR-02, SCR-03, SCR-04, SCR-07, SCR-08, SCR-09, SCR-10, SCR-11, SCR-12, SCR-13, SCR-14</x:v>
      </x:c>
      <x:c r="G10" s="815" t="str">
        <x:v>Chronicle summary strip</x:v>
      </x:c>
      <x:c r="H10" s="815" t="str">
        <x:v>Reducer/event projection</x:v>
      </x:c>
      <x:c r="I10" s="844" t="str">
        <x:v>approved</x:v>
      </x:c>
    </x:row>
    <x:row r="11" ht="84" customHeight="1">
      <x:c r="A11" s="816" t="str">
        <x:v>CMP-07</x:v>
      </x:c>
      <x:c r="B11" s="816" t="str">
        <x:v>Attention Notice</x:v>
      </x:c>
      <x:c r="C11" s="816" t="str">
        <x:v>World shell</x:v>
      </x:c>
      <x:c r="D11" s="816" t="str">
        <x:v>CommandPort</x:v>
      </x:c>
      <x:c r="E11" s="816" t="str">
        <x:v>AttentionDigest</x:v>
      </x:c>
      <x:c r="F11" s="816" t="str">
        <x:v>SCR-01, SCR-02, SCR-03, SCR-04, SCR-05, SCR-06, SCR-07, SCR-08, SCR-09, SCR-10, SCR-11, SCR-12, SCR-13, SCR-14</x:v>
      </x:c>
      <x:c r="G11" s="816" t="str">
        <x:v>Notice aggregator</x:v>
      </x:c>
      <x:c r="H11" s="816" t="str">
        <x:v>Attention projection</x:v>
      </x:c>
      <x:c r="I11" s="844" t="str">
        <x:v>approved</x:v>
      </x:c>
    </x:row>
    <x:row r="12" ht="84" customHeight="1">
      <x:c r="A12" s="815" t="str">
        <x:v>CMP-08</x:v>
      </x:c>
      <x:c r="B12" s="815" t="str">
        <x:v>Draft Preservation Bar</x:v>
      </x:c>
      <x:c r="C12" s="815" t="str">
        <x:v>World shell</x:v>
      </x:c>
      <x:c r="D12" s="815" t="str">
        <x:v>RecoveryPort</x:v>
      </x:c>
      <x:c r="E12" s="815" t="str">
        <x:v>Freshness, SaveRecoveryState</x:v>
      </x:c>
      <x:c r="F12" s="815" t="str">
        <x:v>SCR-01, SCR-02, SCR-03, SCR-04, SCR-05, SCR-06, SCR-07, SCR-08, SCR-09, SCR-10, SCR-11, SCR-12, SCR-13, SCR-14</x:v>
      </x:c>
      <x:c r="G12" s="815" t="str">
        <x:v>Durable draft store</x:v>
      </x:c>
      <x:c r="H12" s="815" t="str">
        <x:v>Draft/recovery coordinator</x:v>
      </x:c>
      <x:c r="I12" s="844" t="str">
        <x:v>approved</x:v>
      </x:c>
    </x:row>
    <x:row r="13" ht="84" customHeight="1">
      <x:c r="A13" s="816" t="str">
        <x:v>CMP-09</x:v>
      </x:c>
      <x:c r="B13" s="816" t="str">
        <x:v>Scene Frame</x:v>
      </x:c>
      <x:c r="C13" s="816" t="str">
        <x:v>Core loop</x:v>
      </x:c>
      <x:c r="D13" s="816" t="str">
        <x:v>CommandPort</x:v>
      </x:c>
      <x:c r="E13" s="816" t="str">
        <x:v>StageFrame, SiteRecord</x:v>
      </x:c>
      <x:c r="F13" s="816" t="str">
        <x:v>SCR-04, SCR-06</x:v>
      </x:c>
      <x:c r="G13" s="816" t="str">
        <x:v>Adaptive Stage scene renderer</x:v>
      </x:c>
      <x:c r="H13" s="816" t="str">
        <x:v>Stage/world projection</x:v>
      </x:c>
      <x:c r="I13" s="844" t="str">
        <x:v>approved</x:v>
      </x:c>
    </x:row>
    <x:row r="14" ht="84" customHeight="1">
      <x:c r="A14" s="815" t="str">
        <x:v>CMP-10</x:v>
      </x:c>
      <x:c r="B14" s="815" t="str">
        <x:v>Exact Speech Block</x:v>
      </x:c>
      <x:c r="C14" s="815" t="str">
        <x:v>Core loop</x:v>
      </x:c>
      <x:c r="D14" s="815" t="str">
        <x:v>CommandPort</x:v>
      </x:c>
      <x:c r="E14" s="815" t="str">
        <x:v>EntityContextLens, actor status</x:v>
      </x:c>
      <x:c r="F14" s="815" t="str">
        <x:v>SCR-04</x:v>
      </x:c>
      <x:c r="G14" s="815" t="str">
        <x:v>Dialogue block</x:v>
      </x:c>
      <x:c r="H14" s="815" t="str">
        <x:v>Actor projection</x:v>
      </x:c>
      <x:c r="I14" s="844" t="str">
        <x:v>approved</x:v>
      </x:c>
    </x:row>
    <x:row r="15" ht="84" customHeight="1">
      <x:c r="A15" s="816" t="str">
        <x:v>CMP-11</x:v>
      </x:c>
      <x:c r="B15" s="816" t="str">
        <x:v>Meaningful Marker</x:v>
      </x:c>
      <x:c r="C15" s="816" t="str">
        <x:v>Core loop</x:v>
      </x:c>
      <x:c r="D15" s="816" t="str">
        <x:v>CommandPort</x:v>
      </x:c>
      <x:c r="E15" s="816" t="str">
        <x:v>Projected facts and permissions</x:v>
      </x:c>
      <x:c r="F15" s="816" t="str">
        <x:v>SCR-04</x:v>
      </x:c>
      <x:c r="G15" s="816" t="str">
        <x:v>Scene affordance marker</x:v>
      </x:c>
      <x:c r="H15" s="816" t="str">
        <x:v>Knowledge projection</x:v>
      </x:c>
      <x:c r="I15" s="844" t="str">
        <x:v>approved</x:v>
      </x:c>
    </x:row>
    <x:row r="16" ht="84" customHeight="1">
      <x:c r="A16" s="815" t="str">
        <x:v>CMP-12</x:v>
      </x:c>
      <x:c r="B16" s="815" t="str">
        <x:v>Contextual Possibility</x:v>
      </x:c>
      <x:c r="C16" s="815" t="str">
        <x:v>Core loop</x:v>
      </x:c>
      <x:c r="D16" s="815" t="str">
        <x:v>CommandPort</x:v>
      </x:c>
      <x:c r="E16" s="815" t="str">
        <x:v>Entity action availability</x:v>
      </x:c>
      <x:c r="F16" s="815" t="str">
        <x:v>SCR-02, SCR-03, SCR-04, SCR-05</x:v>
      </x:c>
      <x:c r="G16" s="815" t="str">
        <x:v>Possibility list</x:v>
      </x:c>
      <x:c r="H16" s="815" t="str">
        <x:v>Validator projection</x:v>
      </x:c>
      <x:c r="I16" s="844" t="str">
        <x:v>approved</x:v>
      </x:c>
    </x:row>
    <x:row r="17" ht="84" customHeight="1">
      <x:c r="A17" s="816" t="str">
        <x:v>CMP-13</x:v>
      </x:c>
      <x:c r="B17" s="816" t="str">
        <x:v>Interpreted Action Packet</x:v>
      </x:c>
      <x:c r="C17" s="816" t="str">
        <x:v>Core loop</x:v>
      </x:c>
      <x:c r="D17" s="816" t="str">
        <x:v>ProjectionQueryPort</x:v>
      </x:c>
      <x:c r="E17" s="816" t="str">
        <x:v>InterpretedProposal</x:v>
      </x:c>
      <x:c r="F17" s="816" t="str">
        <x:v>SCR-03, SCR-04, SCR-05, SCR-06</x:v>
      </x:c>
      <x:c r="G17" s="816" t="str">
        <x:v>Proposal review card</x:v>
      </x:c>
      <x:c r="H17" s="816" t="str">
        <x:v>Intent interpreter/validator</x:v>
      </x:c>
      <x:c r="I17" s="844" t="str">
        <x:v>approved</x:v>
      </x:c>
    </x:row>
    <x:row r="18" ht="84" customHeight="1">
      <x:c r="A18" s="815" t="str">
        <x:v>CMP-14</x:v>
      </x:c>
      <x:c r="B18" s="815" t="str">
        <x:v>Knowable Forecast</x:v>
      </x:c>
      <x:c r="C18" s="815" t="str">
        <x:v>Core loop</x:v>
      </x:c>
      <x:c r="D18" s="815" t="str">
        <x:v>ProjectionQueryPort</x:v>
      </x:c>
      <x:c r="E18" s="815" t="str">
        <x:v>ProposalForecast</x:v>
      </x:c>
      <x:c r="F18" s="815" t="str">
        <x:v>SCR-03, SCR-04, SCR-05, SCR-06</x:v>
      </x:c>
      <x:c r="G18" s="815" t="str">
        <x:v>Forecast panel</x:v>
      </x:c>
      <x:c r="H18" s="815" t="str">
        <x:v>Forecast service</x:v>
      </x:c>
      <x:c r="I18" s="844" t="str">
        <x:v>approved</x:v>
      </x:c>
    </x:row>
    <x:row r="19" ht="84" customHeight="1">
      <x:c r="A19" s="816" t="str">
        <x:v>CMP-15</x:v>
      </x:c>
      <x:c r="B19" s="816" t="str">
        <x:v>Adaptive Commit</x:v>
      </x:c>
      <x:c r="C19" s="816" t="str">
        <x:v>Core loop</x:v>
      </x:c>
      <x:c r="D19" s="816" t="str">
        <x:v>CommandPort</x:v>
      </x:c>
      <x:c r="E19" s="816" t="str">
        <x:v>CommitAction, permissions</x:v>
      </x:c>
      <x:c r="F19" s="816" t="str">
        <x:v>SCR-03, SCR-04, SCR-05, SCR-06</x:v>
      </x:c>
      <x:c r="G19" s="816" t="str">
        <x:v>Commit controller</x:v>
      </x:c>
      <x:c r="H19" s="816" t="str">
        <x:v>Validator/reducer</x:v>
      </x:c>
      <x:c r="I19" s="844" t="str">
        <x:v>approved</x:v>
      </x:c>
    </x:row>
    <x:row r="20" ht="84" customHeight="1">
      <x:c r="A20" s="815" t="str">
        <x:v>CMP-16</x:v>
      </x:c>
      <x:c r="B20" s="815" t="str">
        <x:v>Resolution Beat</x:v>
      </x:c>
      <x:c r="C20" s="815" t="str">
        <x:v>Core loop</x:v>
      </x:c>
      <x:c r="D20" s="815" t="str">
        <x:v>CommandPort</x:v>
      </x:c>
      <x:c r="E20" s="815" t="str">
        <x:v>ResolutionBeat</x:v>
      </x:c>
      <x:c r="F20" s="815" t="str">
        <x:v>SCR-04, SCR-05, SCR-06</x:v>
      </x:c>
      <x:c r="G20" s="815" t="str">
        <x:v>Resolution presenter</x:v>
      </x:c>
      <x:c r="H20" s="815" t="str">
        <x:v>Reducer projection</x:v>
      </x:c>
      <x:c r="I20" s="844" t="str">
        <x:v>approved</x:v>
      </x:c>
    </x:row>
    <x:row r="21" ht="84" customHeight="1">
      <x:c r="A21" s="816" t="str">
        <x:v>CMP-17</x:v>
      </x:c>
      <x:c r="B21" s="816" t="str">
        <x:v>Outcome Receipt</x:v>
      </x:c>
      <x:c r="C21" s="816" t="str">
        <x:v>Core loop</x:v>
      </x:c>
      <x:c r="D21" s="816" t="str">
        <x:v>CommandPort</x:v>
      </x:c>
      <x:c r="E21" s="816" t="str">
        <x:v>PublicOutcome, command receipt</x:v>
      </x:c>
      <x:c r="F21" s="816" t="str">
        <x:v>SCR-04, SCR-05, SCR-06, SCR-12, SCR-13</x:v>
      </x:c>
      <x:c r="G21" s="816" t="str">
        <x:v>Receipt panel</x:v>
      </x:c>
      <x:c r="H21" s="816" t="str">
        <x:v>Command gateway/reducer</x:v>
      </x:c>
      <x:c r="I21" s="844" t="str">
        <x:v>approved</x:v>
      </x:c>
    </x:row>
    <x:row r="22" ht="84" customHeight="1">
      <x:c r="A22" s="815" t="str">
        <x:v>CMP-18</x:v>
      </x:c>
      <x:c r="B22" s="815" t="str">
        <x:v>Decision Window</x:v>
      </x:c>
      <x:c r="C22" s="815" t="str">
        <x:v>Core loop</x:v>
      </x:c>
      <x:c r="D22" s="815" t="str">
        <x:v>ProjectionQueryPort</x:v>
      </x:c>
      <x:c r="E22" s="815" t="str">
        <x:v>Decision window event, StageFrame</x:v>
      </x:c>
      <x:c r="F22" s="815" t="str">
        <x:v>SCR-04, SCR-05, SCR-06</x:v>
      </x:c>
      <x:c r="G22" s="815" t="str">
        <x:v>Urgent choice band</x:v>
      </x:c>
      <x:c r="H22" s="815" t="str">
        <x:v>Timing validator</x:v>
      </x:c>
      <x:c r="I22" s="844" t="str">
        <x:v>approved</x:v>
      </x:c>
    </x:row>
    <x:row r="23" ht="84" customHeight="1">
      <x:c r="A23" s="816" t="str">
        <x:v>CMP-19</x:v>
      </x:c>
      <x:c r="B23" s="816" t="str">
        <x:v>Interrupt Queue</x:v>
      </x:c>
      <x:c r="C23" s="816" t="str">
        <x:v>Core loop</x:v>
      </x:c>
      <x:c r="D23" s="816" t="str">
        <x:v>RecoveryPort</x:v>
      </x:c>
      <x:c r="E23" s="816" t="str">
        <x:v>Decision events, recovery, attention</x:v>
      </x:c>
      <x:c r="F23" s="816" t="str">
        <x:v>SCR-04, SCR-05, SCR-06</x:v>
      </x:c>
      <x:c r="G23" s="816" t="str">
        <x:v>Interrupt stack</x:v>
      </x:c>
      <x:c r="H23" s="816" t="str">
        <x:v>Timing/recovery coordinators</x:v>
      </x:c>
      <x:c r="I23" s="844" t="str">
        <x:v>approved</x:v>
      </x:c>
    </x:row>
    <x:row r="24" ht="84" customHeight="1">
      <x:c r="A24" s="815" t="str">
        <x:v>CMP-20</x:v>
      </x:c>
      <x:c r="B24" s="815" t="str">
        <x:v>Tactical Emphasis Strip</x:v>
      </x:c>
      <x:c r="C24" s="815" t="str">
        <x:v>Core loop</x:v>
      </x:c>
      <x:c r="D24" s="815" t="str">
        <x:v>ProjectionQueryPort</x:v>
      </x:c>
      <x:c r="E24" s="815" t="str">
        <x:v>StageFrame, character/site pressure</x:v>
      </x:c>
      <x:c r="F24" s="815" t="str">
        <x:v>SCR-04, SCR-06</x:v>
      </x:c>
      <x:c r="G24" s="815" t="str">
        <x:v>Tactical emphasis module</x:v>
      </x:c>
      <x:c r="H24" s="815" t="str">
        <x:v>Stage composer</x:v>
      </x:c>
      <x:c r="I24" s="844" t="str">
        <x:v>approved</x:v>
      </x:c>
    </x:row>
    <x:row r="25" ht="84" customHeight="1">
      <x:c r="A25" s="816" t="str">
        <x:v>CMP-21</x:v>
      </x:c>
      <x:c r="B25" s="816" t="str">
        <x:v>BP Ledger</x:v>
      </x:c>
      <x:c r="C25" s="816" t="str">
        <x:v>Systems</x:v>
      </x:c>
      <x:c r="D25" s="816" t="str">
        <x:v>CommandPort</x:v>
      </x:c>
      <x:c r="E25" s="816" t="str">
        <x:v>AdvancementDraft, progression events</x:v>
      </x:c>
      <x:c r="F25" s="816" t="str">
        <x:v>SCR-03, SCR-07</x:v>
      </x:c>
      <x:c r="G25" s="816" t="str">
        <x:v>BP audit table</x:v>
      </x:c>
      <x:c r="H25" s="816" t="str">
        <x:v>Advancement validator/reducer</x:v>
      </x:c>
      <x:c r="I25" s="844" t="str">
        <x:v>approved</x:v>
      </x:c>
    </x:row>
    <x:row r="26" ht="84" customHeight="1">
      <x:c r="A26" s="815" t="str">
        <x:v>CMP-22</x:v>
      </x:c>
      <x:c r="B26" s="815" t="str">
        <x:v>Condition / Wound Card</x:v>
      </x:c>
      <x:c r="C26" s="815" t="str">
        <x:v>Systems</x:v>
      </x:c>
      <x:c r="D26" s="815" t="str">
        <x:v>CommandPort</x:v>
      </x:c>
      <x:c r="E26" s="815" t="str">
        <x:v>CharacterRecord, ContinuationState</x:v>
      </x:c>
      <x:c r="F26" s="815" t="str">
        <x:v>SCR-06, SCR-07</x:v>
      </x:c>
      <x:c r="G26" s="815" t="str">
        <x:v>Condition card</x:v>
      </x:c>
      <x:c r="H26" s="815" t="str">
        <x:v>Character projection</x:v>
      </x:c>
      <x:c r="I26" s="844" t="str">
        <x:v>approved</x:v>
      </x:c>
    </x:row>
    <x:row r="27" ht="84" customHeight="1">
      <x:c r="A27" s="816" t="str">
        <x:v>CMP-23</x:v>
      </x:c>
      <x:c r="B27" s="816" t="str">
        <x:v>Relationship Card</x:v>
      </x:c>
      <x:c r="C27" s="816" t="str">
        <x:v>Systems</x:v>
      </x:c>
      <x:c r="D27" s="816" t="str">
        <x:v>CommandPort</x:v>
      </x:c>
      <x:c r="E27" s="816" t="str">
        <x:v>CompanyRecord, actor status</x:v>
      </x:c>
      <x:c r="F27" s="816" t="str">
        <x:v>SCR-08</x:v>
      </x:c>
      <x:c r="G27" s="816" t="str">
        <x:v>Relationship record</x:v>
      </x:c>
      <x:c r="H27" s="816" t="str">
        <x:v>Company/actor projection</x:v>
      </x:c>
      <x:c r="I27" s="844" t="str">
        <x:v>approved</x:v>
      </x:c>
    </x:row>
    <x:row r="28" ht="84" customHeight="1">
      <x:c r="A28" s="815" t="str">
        <x:v>CMP-24</x:v>
      </x:c>
      <x:c r="B28" s="815" t="str">
        <x:v>Relic Bond Card</x:v>
      </x:c>
      <x:c r="C28" s="815" t="str">
        <x:v>Systems</x:v>
      </x:c>
      <x:c r="D28" s="815" t="str">
        <x:v>CommandPort</x:v>
      </x:c>
      <x:c r="E28" s="815" t="str">
        <x:v>RelicRecord, relic events</x:v>
      </x:c>
      <x:c r="F28" s="815" t="str">
        <x:v>SCR-08</x:v>
      </x:c>
      <x:c r="G28" s="815" t="str">
        <x:v>Relic record</x:v>
      </x:c>
      <x:c r="H28" s="815" t="str">
        <x:v>Relic projection</x:v>
      </x:c>
      <x:c r="I28" s="844" t="str">
        <x:v>approved</x:v>
      </x:c>
    </x:row>
    <x:row r="29" ht="84" customHeight="1">
      <x:c r="A29" s="816" t="str">
        <x:v>CMP-25</x:v>
      </x:c>
      <x:c r="B29" s="816" t="str">
        <x:v>Custody and Access Row</x:v>
      </x:c>
      <x:c r="C29" s="816" t="str">
        <x:v>Systems</x:v>
      </x:c>
      <x:c r="D29" s="816" t="str">
        <x:v>CommandPort</x:v>
      </x:c>
      <x:c r="E29" s="816" t="str">
        <x:v>HoldingsRecord, transfer command/event</x:v>
      </x:c>
      <x:c r="F29" s="816" t="str">
        <x:v>SCR-09</x:v>
      </x:c>
      <x:c r="G29" s="816" t="str">
        <x:v>Custody row</x:v>
      </x:c>
      <x:c r="H29" s="816" t="str">
        <x:v>Custody validator/reducer</x:v>
      </x:c>
      <x:c r="I29" s="844" t="str">
        <x:v>approved</x:v>
      </x:c>
    </x:row>
    <x:row r="30" ht="84" customHeight="1">
      <x:c r="A30" s="815" t="str">
        <x:v>CMP-26</x:v>
      </x:c>
      <x:c r="B30" s="815" t="str">
        <x:v>Item Comparison</x:v>
      </x:c>
      <x:c r="C30" s="815" t="str">
        <x:v>Systems</x:v>
      </x:c>
      <x:c r="D30" s="815" t="str">
        <x:v>CommandPort</x:v>
      </x:c>
      <x:c r="E30" s="815" t="str">
        <x:v>HoldingsRecord, projected task facts</x:v>
      </x:c>
      <x:c r="F30" s="815" t="str">
        <x:v>SCR-09</x:v>
      </x:c>
      <x:c r="G30" s="815" t="str">
        <x:v>Comparison table</x:v>
      </x:c>
      <x:c r="H30" s="815" t="str">
        <x:v>Holdings projection</x:v>
      </x:c>
      <x:c r="I30" s="844" t="str">
        <x:v>approved</x:v>
      </x:c>
    </x:row>
    <x:row r="31" ht="84" customHeight="1">
      <x:c r="A31" s="816" t="str">
        <x:v>CMP-27</x:v>
      </x:c>
      <x:c r="B31" s="816" t="str">
        <x:v>Craft / Repair Plan</x:v>
      </x:c>
      <x:c r="C31" s="816" t="str">
        <x:v>Systems</x:v>
      </x:c>
      <x:c r="D31" s="816" t="str">
        <x:v>CommandPort</x:v>
      </x:c>
      <x:c r="E31" s="816" t="str">
        <x:v>ProjectRecord, interval commands/events</x:v>
      </x:c>
      <x:c r="F31" s="816" t="str">
        <x:v>SCR-09</x:v>
      </x:c>
      <x:c r="G31" s="816" t="str">
        <x:v>Project plan</x:v>
      </x:c>
      <x:c r="H31" s="816" t="str">
        <x:v>Project validator/reducer</x:v>
      </x:c>
      <x:c r="I31" s="844" t="str">
        <x:v>approved</x:v>
      </x:c>
    </x:row>
    <x:row r="32" ht="84" customHeight="1">
      <x:c r="A32" s="815" t="str">
        <x:v>CMP-28</x:v>
      </x:c>
      <x:c r="B32" s="815" t="str">
        <x:v>Route / Journey Card</x:v>
      </x:c>
      <x:c r="C32" s="815" t="str">
        <x:v>Systems</x:v>
      </x:c>
      <x:c r="D32" s="815" t="str">
        <x:v>CommandPort</x:v>
      </x:c>
      <x:c r="E32" s="815" t="str">
        <x:v>JourneyState, journey command/event</x:v>
      </x:c>
      <x:c r="F32" s="815" t="str">
        <x:v>SCR-10</x:v>
      </x:c>
      <x:c r="G32" s="815" t="str">
        <x:v>Journey plan</x:v>
      </x:c>
      <x:c r="H32" s="815" t="str">
        <x:v>Travel validator/reducer</x:v>
      </x:c>
      <x:c r="I32" s="844" t="str">
        <x:v>approved</x:v>
      </x:c>
    </x:row>
    <x:row r="33" ht="84" customHeight="1">
      <x:c r="A33" s="816" t="str">
        <x:v>CMP-29</x:v>
      </x:c>
      <x:c r="B33" s="816" t="str">
        <x:v>Knowledge-Safe Map</x:v>
      </x:c>
      <x:c r="C33" s="816" t="str">
        <x:v>Systems</x:v>
      </x:c>
      <x:c r="D33" s="816" t="str">
        <x:v>CommandPort</x:v>
      </x:c>
      <x:c r="E33" s="816" t="str">
        <x:v>KnownWorldMap, JourneyState</x:v>
      </x:c>
      <x:c r="F33" s="816" t="str">
        <x:v>SCR-04, SCR-10</x:v>
      </x:c>
      <x:c r="G33" s="816" t="str">
        <x:v>Map with text alternative</x:v>
      </x:c>
      <x:c r="H33" s="816" t="str">
        <x:v>Knowledge-map reducer</x:v>
      </x:c>
      <x:c r="I33" s="844" t="str">
        <x:v>approved</x:v>
      </x:c>
    </x:row>
    <x:row r="34" ht="84" customHeight="1">
      <x:c r="A34" s="815" t="str">
        <x:v>CMP-30</x:v>
      </x:c>
      <x:c r="B34" s="815" t="str">
        <x:v>Evidence Claim</x:v>
      </x:c>
      <x:c r="C34" s="815" t="str">
        <x:v>Systems</x:v>
      </x:c>
      <x:c r="D34" s="815" t="str">
        <x:v>CommandPort</x:v>
      </x:c>
      <x:c r="E34" s="815" t="str">
        <x:v>CaseRecord</x:v>
      </x:c>
      <x:c r="F34" s="815" t="str">
        <x:v>SCR-11</x:v>
      </x:c>
      <x:c r="G34" s="815" t="str">
        <x:v>Evidence record</x:v>
      </x:c>
      <x:c r="H34" s="815" t="str">
        <x:v>Case projection</x:v>
      </x:c>
      <x:c r="I34" s="844" t="str">
        <x:v>approved</x:v>
      </x:c>
    </x:row>
    <x:row r="35" ht="84" customHeight="1">
      <x:c r="A35" s="816" t="str">
        <x:v>CMP-31</x:v>
      </x:c>
      <x:c r="B35" s="816" t="str">
        <x:v>Front Pressure Card</x:v>
      </x:c>
      <x:c r="C35" s="816" t="str">
        <x:v>Systems</x:v>
      </x:c>
      <x:c r="D35" s="816" t="str">
        <x:v>CommandPort</x:v>
      </x:c>
      <x:c r="E35" s="816" t="str">
        <x:v>FactionFrontLegalRecord, AttentionDigest</x:v>
      </x:c>
      <x:c r="F35" s="816" t="str">
        <x:v>SCR-11</x:v>
      </x:c>
      <x:c r="G35" s="816" t="str">
        <x:v>Pressure card</x:v>
      </x:c>
      <x:c r="H35" s="816" t="str">
        <x:v>Front/knowledge projection</x:v>
      </x:c>
      <x:c r="I35" s="844" t="str">
        <x:v>approved</x:v>
      </x:c>
    </x:row>
    <x:row r="36" ht="84" customHeight="1">
      <x:c r="A36" s="815" t="str">
        <x:v>CMP-32</x:v>
      </x:c>
      <x:c r="B36" s="815" t="str">
        <x:v>Legal Process Card</x:v>
      </x:c>
      <x:c r="C36" s="815" t="str">
        <x:v>Systems</x:v>
      </x:c>
      <x:c r="D36" s="815" t="str">
        <x:v>CommandPort</x:v>
      </x:c>
      <x:c r="E36" s="815" t="str">
        <x:v>FactionFrontLegalRecord, world commands/events</x:v>
      </x:c>
      <x:c r="F36" s="815" t="str">
        <x:v>SCR-11</x:v>
      </x:c>
      <x:c r="G36" s="815" t="str">
        <x:v>Legal record</x:v>
      </x:c>
      <x:c r="H36" s="815" t="str">
        <x:v>Legal/world reducer</x:v>
      </x:c>
      <x:c r="I36" s="844" t="str">
        <x:v>approved</x:v>
      </x:c>
    </x:row>
    <x:row r="37" ht="84" customHeight="1">
      <x:c r="A37" s="816" t="str">
        <x:v>CMP-33</x:v>
      </x:c>
      <x:c r="B37" s="816" t="str">
        <x:v>Comic Job Card</x:v>
      </x:c>
      <x:c r="C37" s="816" t="str">
        <x:v>Systems</x:v>
      </x:c>
      <x:c r="D37" s="816" t="str">
        <x:v>MediaPort</x:v>
      </x:c>
      <x:c r="E37" s="816" t="str">
        <x:v>ComicJobRecord</x:v>
      </x:c>
      <x:c r="F37" s="816" t="str">
        <x:v>SCR-12</x:v>
      </x:c>
      <x:c r="G37" s="816" t="str">
        <x:v>Background job card</x:v>
      </x:c>
      <x:c r="H37" s="816" t="str">
        <x:v>Media job coordinator</x:v>
      </x:c>
      <x:c r="I37" s="844" t="str">
        <x:v>approved</x:v>
      </x:c>
    </x:row>
    <x:row r="38" ht="84" customHeight="1">
      <x:c r="A38" s="815" t="str">
        <x:v>CMP-34</x:v>
      </x:c>
      <x:c r="B38" s="815" t="str">
        <x:v>Comic Reader Controls</x:v>
      </x:c>
      <x:c r="C38" s="815" t="str">
        <x:v>Systems</x:v>
      </x:c>
      <x:c r="D38" s="815" t="str">
        <x:v>MediaPort</x:v>
      </x:c>
      <x:c r="E38" s="815" t="str">
        <x:v>ComicReaderRecord, AccessiblePublicationPackage</x:v>
      </x:c>
      <x:c r="F38" s="815" t="str">
        <x:v>SCR-12</x:v>
      </x:c>
      <x:c r="G38" s="815" t="str">
        <x:v>Reader controls</x:v>
      </x:c>
      <x:c r="H38" s="815" t="str">
        <x:v>Publication projection</x:v>
      </x:c>
      <x:c r="I38" s="844" t="str">
        <x:v>approved</x:v>
      </x:c>
    </x:row>
    <x:row r="39" ht="84" customHeight="1">
      <x:c r="A39" s="816" t="str">
        <x:v>CMP-35</x:v>
      </x:c>
      <x:c r="B39" s="816" t="str">
        <x:v>Visible Focus</x:v>
      </x:c>
      <x:c r="C39" s="816" t="str">
        <x:v>Accessibility</x:v>
      </x:c>
      <x:c r="D39" s="816" t="str">
        <x:v>PreferencePort</x:v>
      </x:c>
      <x:c r="E39" s="816" t="str">
        <x:v>AccessibilitySemantic, AccessibilityProfile</x:v>
      </x:c>
      <x:c r="F39" s="816" t="str">
        <x:v>SCR-01, SCR-02, SCR-03, SCR-04, SCR-05, SCR-06, SCR-07, SCR-08, SCR-09, SCR-10, SCR-11, SCR-12, SCR-13, SCR-14</x:v>
      </x:c>
      <x:c r="G39" s="816" t="str">
        <x:v>Focus styling primitive</x:v>
      </x:c>
      <x:c r="H39" s="816" t="str">
        <x:v>Semantic projection/preference</x:v>
      </x:c>
      <x:c r="I39" s="844" t="str">
        <x:v>approved</x:v>
      </x:c>
    </x:row>
    <x:row r="40" ht="84" customHeight="1">
      <x:c r="A40" s="815" t="str">
        <x:v>CMP-36</x:v>
      </x:c>
      <x:c r="B40" s="815" t="str">
        <x:v>Semantic Regions</x:v>
      </x:c>
      <x:c r="C40" s="815" t="str">
        <x:v>Accessibility</x:v>
      </x:c>
      <x:c r="D40" s="815" t="str">
        <x:v>PreferencePort</x:v>
      </x:c>
      <x:c r="E40" s="815" t="str">
        <x:v>AccessibilitySemantic, localization direction</x:v>
      </x:c>
      <x:c r="F40" s="815" t="str">
        <x:v>SCR-01, SCR-02, SCR-03, SCR-04, SCR-05, SCR-06, SCR-07, SCR-08, SCR-09, SCR-10, SCR-11, SCR-12, SCR-13, SCR-14</x:v>
      </x:c>
      <x:c r="G40" s="815" t="str">
        <x:v>Landmark primitives</x:v>
      </x:c>
      <x:c r="H40" s="815" t="str">
        <x:v>Semantic projection</x:v>
      </x:c>
      <x:c r="I40" s="844" t="str">
        <x:v>approved</x:v>
      </x:c>
    </x:row>
    <x:row r="41" ht="84" customHeight="1">
      <x:c r="A41" s="816" t="str">
        <x:v>CMP-37</x:v>
      </x:c>
      <x:c r="B41" s="816" t="str">
        <x:v>Noncolor State Cue</x:v>
      </x:c>
      <x:c r="C41" s="816" t="str">
        <x:v>Accessibility</x:v>
      </x:c>
      <x:c r="D41" s="816" t="str">
        <x:v>PreferencePort</x:v>
      </x:c>
      <x:c r="E41" s="816" t="str">
        <x:v>AccessibilitySemantic</x:v>
      </x:c>
      <x:c r="F41" s="816" t="str">
        <x:v>SCR-01, SCR-02, SCR-03, SCR-04, SCR-05, SCR-06, SCR-07, SCR-08, SCR-09, SCR-10, SCR-11, SCR-12, SCR-13, SCR-14</x:v>
      </x:c>
      <x:c r="G41" s="816" t="str">
        <x:v>State cue primitive</x:v>
      </x:c>
      <x:c r="H41" s="816" t="str">
        <x:v>Semantic projection</x:v>
      </x:c>
      <x:c r="I41" s="844" t="str">
        <x:v>approved</x:v>
      </x:c>
    </x:row>
    <x:row r="42" ht="84" customHeight="1">
      <x:c r="A42" s="815" t="str">
        <x:v>CMP-38</x:v>
      </x:c>
      <x:c r="B42" s="815" t="str">
        <x:v>Live-Region Message</x:v>
      </x:c>
      <x:c r="C42" s="815" t="str">
        <x:v>Accessibility</x:v>
      </x:c>
      <x:c r="D42" s="815" t="str">
        <x:v>MediaPort</x:v>
      </x:c>
      <x:c r="E42" s="815" t="str">
        <x:v>Accessibility announcement, recovery/media events</x:v>
      </x:c>
      <x:c r="F42" s="815" t="str">
        <x:v>SCR-01, SCR-02, SCR-03, SCR-04, SCR-05, SCR-06, SCR-07, SCR-08, SCR-09, SCR-10, SCR-11, SCR-12, SCR-13, SCR-14</x:v>
      </x:c>
      <x:c r="G42" s="815" t="str">
        <x:v>Announcement broker</x:v>
      </x:c>
      <x:c r="H42" s="815" t="str">
        <x:v>Projection/event boundary</x:v>
      </x:c>
      <x:c r="I42" s="844" t="str">
        <x:v>approved</x:v>
      </x:c>
    </x:row>
    <x:row r="43" ht="84" customHeight="1">
      <x:c r="A43" s="816" t="str">
        <x:v>CMP-39</x:v>
      </x:c>
      <x:c r="B43" s="816" t="str">
        <x:v>Alternate Input Tray</x:v>
      </x:c>
      <x:c r="C43" s="816" t="str">
        <x:v>Accessibility</x:v>
      </x:c>
      <x:c r="D43" s="816" t="str">
        <x:v>PreferencePort</x:v>
      </x:c>
      <x:c r="E43" s="816" t="str">
        <x:v>IntentCapability, AccessibilityProfile</x:v>
      </x:c>
      <x:c r="F43" s="816" t="str">
        <x:v>SCR-01, SCR-02, SCR-03, SCR-04, SCR-05, SCR-06, SCR-07, SCR-08, SCR-09, SCR-10, SCR-11, SCR-12, SCR-13, SCR-14</x:v>
      </x:c>
      <x:c r="G43" s="816" t="str">
        <x:v>Input adapter tray</x:v>
      </x:c>
      <x:c r="H43" s="816" t="str">
        <x:v>Input adapter/preference service</x:v>
      </x:c>
      <x:c r="I43" s="844" t="str">
        <x:v>approved</x:v>
      </x:c>
    </x:row>
    <x:row r="44" ht="84" customHeight="1">
      <x:c r="A44" s="817" t="str">
        <x:v>CMP-40</x:v>
      </x:c>
      <x:c r="B44" s="817" t="str">
        <x:v>Motion Substitute</x:v>
      </x:c>
      <x:c r="C44" s="817" t="str">
        <x:v>Accessibility</x:v>
      </x:c>
      <x:c r="D44" s="817" t="str">
        <x:v>PreferencePort</x:v>
      </x:c>
      <x:c r="E44" s="817" t="str">
        <x:v>AccessibilitySemantic, AttentionDigest</x:v>
      </x:c>
      <x:c r="F44" s="817" t="str">
        <x:v>SCR-01, SCR-02, SCR-03, SCR-04, SCR-05, SCR-06, SCR-07, SCR-08, SCR-09, SCR-10, SCR-11, SCR-12, SCR-13, SCR-14</x:v>
      </x:c>
      <x:c r="G44" s="817" t="str">
        <x:v>Reduced-motion presenter</x:v>
      </x:c>
      <x:c r="H44" s="817" t="str">
        <x:v>Semantic projection</x:v>
      </x:c>
      <x:c r="I44" s="845" t="str">
        <x:v>approved</x:v>
      </x:c>
    </x:row>
  </x:sheetData>
  <x:mergeCells>
    <x:mergeCell ref="A1:I1"/>
    <x:mergeCell ref="A2:I2"/>
  </x:mergeCells>
  <x:pageMargins left="0.7" right="0.7" top="0.75" bottom="0.75" header="0.3" footer="0.3"/>
  <x:tableParts count="1">
    <x:tablePart xmlns:r="http://schemas.openxmlformats.org/officeDocument/2006/relationships" r:id="Rdbe276a1eed2461f"/>
  </x:tableParts>
</x:worksheet>
</file>

<file path=xl/worksheets/sheet49.xml><?xml version="1.0" encoding="utf-8"?>
<x:worksheet xmlns:x="http://schemas.openxmlformats.org/spreadsheetml/2006/main">
  <x:sheetViews>
    <x:sheetView showGridLines="0" workbookViewId="0"/>
  </x:sheetViews>
  <x:sheetFormatPr defaultRowHeight="15"/>
  <x:cols>
    <x:col min="1" max="1" width="14" hidden="0" customWidth="1"/>
    <x:col min="2" max="2" width="57" hidden="0" customWidth="1"/>
    <x:col min="3" max="3" width="31" hidden="0" customWidth="1"/>
    <x:col min="4" max="4" width="26" hidden="0" customWidth="1"/>
    <x:col min="5" max="5" width="63" hidden="0" customWidth="1"/>
    <x:col min="6" max="6" width="63" hidden="0" customWidth="1"/>
    <x:col min="7" max="7" width="58" hidden="0" customWidth="1"/>
    <x:col min="8" max="8" width="21" hidden="0" customWidth="1"/>
  </x:cols>
  <x:sheetData>
    <x:row r="1">
      <x:c r="A1" s="768" t="str">
        <x:v>UI-04 • 17 SCENARIO ARCHITECTURE TRACES</x:v>
      </x:c>
      <x:c r="B1" s="768" t="str">
        <x:v>UI-04 • 17 SCENARIO ARCHITECTURE TRACES</x:v>
      </x:c>
      <x:c r="C1" s="768" t="str">
        <x:v>UI-04 • 17 SCENARIO ARCHITECTURE TRACES</x:v>
      </x:c>
      <x:c r="D1" s="768" t="str">
        <x:v>UI-04 • 17 SCENARIO ARCHITECTURE TRACES</x:v>
      </x:c>
      <x:c r="E1" s="768" t="str">
        <x:v>UI-04 • 17 SCENARIO ARCHITECTURE TRACES</x:v>
      </x:c>
      <x:c r="F1" s="768" t="str">
        <x:v>UI-04 • 17 SCENARIO ARCHITECTURE TRACES</x:v>
      </x:c>
      <x:c r="G1" s="768" t="str">
        <x:v>UI-04 • 17 SCENARIO ARCHITECTURE TRACES</x:v>
      </x:c>
      <x:c r="H1" s="768" t="str">
        <x:v>UI-04 • 17 SCENARIO ARCHITECTURE TRACES</x:v>
      </x:c>
    </x:row>
    <x:row r="2">
      <x:c r="A2" s="772" t="str">
        <x:v>Every approved scenario names its screens, machines, contracts, fixtures and release validation</x:v>
      </x:c>
      <x:c r="B2" s="772" t="str">
        <x:v>Every approved scenario names its screens, machines, contracts, fixtures and release validation</x:v>
      </x:c>
      <x:c r="C2" s="772" t="str">
        <x:v>Every approved scenario names its screens, machines, contracts, fixtures and release validation</x:v>
      </x:c>
      <x:c r="D2" s="772" t="str">
        <x:v>Every approved scenario names its screens, machines, contracts, fixtures and release validation</x:v>
      </x:c>
      <x:c r="E2" s="772" t="str">
        <x:v>Every approved scenario names its screens, machines, contracts, fixtures and release validation</x:v>
      </x:c>
      <x:c r="F2" s="772" t="str">
        <x:v>Every approved scenario names its screens, machines, contracts, fixtures and release validation</x:v>
      </x:c>
      <x:c r="G2" s="772" t="str">
        <x:v>Every approved scenario names its screens, machines, contracts, fixtures and release validation</x:v>
      </x:c>
      <x:c r="H2" s="772" t="str">
        <x:v>Every approved scenario names its screens, machines, contracts, fixtures and release validation</x:v>
      </x:c>
    </x:row>
    <x:row r="4">
      <x:c r="A4" s="812" t="str">
        <x:v>Scenario</x:v>
      </x:c>
      <x:c r="B4" s="813" t="str">
        <x:v>Player outcome</x:v>
      </x:c>
      <x:c r="C4" s="813" t="str">
        <x:v>Screens</x:v>
      </x:c>
      <x:c r="D4" s="813" t="str">
        <x:v>Machines</x:v>
      </x:c>
      <x:c r="E4" s="813" t="str">
        <x:v>Contracts</x:v>
      </x:c>
      <x:c r="F4" s="813" t="str">
        <x:v>Fixtures/tests</x:v>
      </x:c>
      <x:c r="G4" s="813" t="str">
        <x:v>Release validation</x:v>
      </x:c>
      <x:c r="H4" s="814" t="str">
        <x:v>Status</x:v>
      </x:c>
    </x:row>
    <x:row r="5" ht="94" customHeight="1">
      <x:c r="A5" s="792" t="str">
        <x:v>SCN-01</x:v>
      </x:c>
      <x:c r="B5" s="792" t="str">
        <x:v>First-time player reaches meaningful choice in 90 seconds</x:v>
      </x:c>
      <x:c r="C5" s="792" t="str">
        <x:v>SCR-01, SCR-02, SCR-04</x:v>
      </x:c>
      <x:c r="D5" s="792" t="str">
        <x:v>SM-01, SM-09</x:v>
      </x:c>
      <x:c r="E5" s="792" t="str">
        <x:v>RM-002, RM-003, RM-005, C3-A11Y-004, C3-A11Y-002</x:v>
      </x:c>
      <x:c r="F5" s="792" t="str">
        <x:v>world-strip-current; stage-frame-current; intent-capability; issue-zero-skip</x:v>
      </x:c>
      <x:c r="G5" s="792" t="str">
        <x:v>Timed first-choice usability; keyboard-only path; no lore gate</x:v>
      </x:c>
      <x:c r="H5" s="843" t="str">
        <x:v>approved trace</x:v>
      </x:c>
    </x:row>
    <x:row r="6" ht="94" customHeight="1">
      <x:c r="A6" s="815" t="str">
        <x:v>SCN-02</x:v>
      </x:c>
      <x:c r="B6" s="815" t="str">
        <x:v>Expert creates custom legal build and audits every BP</x:v>
      </x:c>
      <x:c r="C6" s="815" t="str">
        <x:v>SCR-03</x:v>
      </x:c>
      <x:c r="D6" s="815" t="str">
        <x:v>SM-06</x:v>
      </x:c>
      <x:c r="E6" s="815" t="str">
        <x:v>C2-CHAR-001, C2-CHAR-002, C2-CHAR-004, C2-CHAR-005, COMMON-003</x:v>
      </x:c>
      <x:c r="F6" s="815" t="str">
        <x:v>advancement-draft; draft/commit advancement; silent-bp-spend rejected</x:v>
      </x:c>
      <x:c r="G6" s="815" t="str">
        <x:v>Expert build audit; stale draft conflict; zero silent spend</x:v>
      </x:c>
      <x:c r="H6" s="844" t="str">
        <x:v>approved trace</x:v>
      </x:c>
    </x:row>
    <x:row r="7" ht="94" customHeight="1">
      <x:c r="A7" s="816" t="str">
        <x:v>SCN-03</x:v>
      </x:c>
      <x:c r="B7" s="816" t="str">
        <x:v>Ordinary survivor begins without Awakening</x:v>
      </x:c>
      <x:c r="C7" s="816" t="str">
        <x:v>SCR-03, SCR-07</x:v>
      </x:c>
      <x:c r="D7" s="816" t="str">
        <x:v>SM-06</x:v>
      </x:c>
      <x:c r="E7" s="816" t="str">
        <x:v>C2-CHAR-001, C2-CHAR-003, C3-A11Y-004</x:v>
      </x:c>
      <x:c r="F7" s="816" t="str">
        <x:v>character-ordinary-survivor; continuation-afterlife; issue-zero-skip</x:v>
      </x:c>
      <x:c r="G7" s="816" t="str">
        <x:v>Ordinary-entry fixture; no Awakening dependency or penalty</x:v>
      </x:c>
      <x:c r="H7" s="844" t="str">
        <x:v>approved trace</x:v>
      </x:c>
    </x:row>
    <x:row r="8" ht="94" customHeight="1">
      <x:c r="A8" s="815" t="str">
        <x:v>SCN-04</x:v>
      </x:c>
      <x:c r="B8" s="815" t="str">
        <x:v>Absurd but causally possible action</x:v>
      </x:c>
      <x:c r="C8" s="815" t="str">
        <x:v>SCR-04, SCR-05</x:v>
      </x:c>
      <x:c r="D8" s="815" t="str">
        <x:v>SM-02</x:v>
      </x:c>
      <x:c r="E8" s="815" t="str">
        <x:v>RM-C1-001, RM-C1-002, CMD-001, CMD-003, CMD-004, C2-HOLD-001</x:v>
      </x:c>
      <x:c r="F8" s="815" t="str">
        <x:v>interpreted-proposal; proposal-forecast; commit-action-command; committed-receipt</x:v>
      </x:c>
      <x:c r="G8" s="815" t="str">
        <x:v>Goal fidelity, causal legality and receipt trace E2E</x:v>
      </x:c>
      <x:c r="H8" s="844" t="str">
        <x:v>approved trace</x:v>
      </x:c>
    </x:row>
    <x:row r="9" ht="94" customHeight="1">
      <x:c r="A9" s="816" t="str">
        <x:v>SCN-05</x:v>
      </x:c>
      <x:c r="B9" s="816" t="str">
        <x:v>Impossible action revised by method</x:v>
      </x:c>
      <x:c r="C9" s="816" t="str">
        <x:v>SCR-05</x:v>
      </x:c>
      <x:c r="D9" s="816" t="str">
        <x:v>SM-02, SM-03</x:v>
      </x:c>
      <x:c r="E9" s="816" t="str">
        <x:v>COMMON-003, COMMON-004, RM-C1-001, CMD-002, CMD-004</x:v>
      </x:c>
      <x:c r="F9" s="816" t="str">
        <x:v>rejected-impossible-receipt; replan-state-changed-receipt; stale-conflict-receipt</x:v>
      </x:c>
      <x:c r="G9" s="816" t="str">
        <x:v>No hidden diagnostic; goal preserved; no rejected-action spend</x:v>
      </x:c>
      <x:c r="H9" s="844" t="str">
        <x:v>approved trace</x:v>
      </x:c>
    </x:row>
    <x:row r="10" ht="94" customHeight="1">
      <x:c r="A10" s="815" t="str">
        <x:v>SCN-06</x:v>
      </x:c>
      <x:c r="B10" s="815" t="str">
        <x:v>Character overloaded with injuries, survival, equipment and law</x:v>
      </x:c>
      <x:c r="C10" s="815" t="str">
        <x:v>SCR-06, SCR-07, SCR-09, SCR-11</x:v>
      </x:c>
      <x:c r="D10" s="815" t="str">
        <x:v>SM-02, SM-04, SM-07</x:v>
      </x:c>
      <x:c r="E10" s="815" t="str">
        <x:v>RM-003, EVF-003, C2-CHAR-001, C2-CHAR-003, C2-HOLD-001, C2-WORLD-005</x:v>
      </x:c>
      <x:c r="F10" s="815" t="str">
        <x:v>stage-frame-current; character and continuation fixtures; front-legal-record</x:v>
      </x:c>
      <x:c r="G10" s="815" t="str">
        <x:v>High-density usability; legal, harm and equipment state remain distinct</x:v>
      </x:c>
      <x:c r="H10" s="844" t="str">
        <x:v>approved trace</x:v>
      </x:c>
    </x:row>
    <x:row r="11" ht="94" customHeight="1">
      <x:c r="A11" s="816" t="str">
        <x:v>SCN-07</x:v>
      </x:c>
      <x:c r="B11" s="816" t="str">
        <x:v>Companion refuses an order</x:v>
      </x:c>
      <x:c r="C11" s="816" t="str">
        <x:v>SCR-08</x:v>
      </x:c>
      <x:c r="D11" s="816" t="str">
        <x:v>SM-03</x:v>
      </x:c>
      <x:c r="E11" s="816" t="str">
        <x:v>RM-004, COMMON-004, C2-COMP-001, C2-COMP-002, C2-COMP-004, C2-COMP-005</x:v>
      </x:c>
      <x:c r="F11" s="816" t="str">
        <x:v>autonomous-actor-refusal; actor-private-motive and obedience-score rejected</x:v>
      </x:c>
      <x:c r="G11" s="816" t="str">
        <x:v>Refusal/counteroffer E2E; no motive or obedience leakage</x:v>
      </x:c>
      <x:c r="H11" s="844" t="str">
        <x:v>approved trace</x:v>
      </x:c>
    </x:row>
    <x:row r="12" ht="94" customHeight="1">
      <x:c r="A12" s="815" t="str">
        <x:v>SCN-08</x:v>
      </x:c>
      <x:c r="B12" s="815" t="str">
        <x:v>Sapient Relic lies, negotiates or rejects access</x:v>
      </x:c>
      <x:c r="C12" s="815" t="str">
        <x:v>SCR-08</x:v>
      </x:c>
      <x:c r="D12" s="815" t="str">
        <x:v>SM-03</x:v>
      </x:c>
      <x:c r="E12" s="815" t="str">
        <x:v>COMMON-002, RM-004, C2-COMP-002, C2-COMP-003, C2-COMP-004, C2-COMP-005</x:v>
      </x:c>
      <x:c r="F12" s="815" t="str">
        <x:v>relic record; relic exact-Bond rejected; refusal event</x:v>
      </x:c>
      <x:c r="G12" s="815" t="str">
        <x:v>Personhood/access test; no lie classification or exact hidden Bond</x:v>
      </x:c>
      <x:c r="H12" s="844" t="str">
        <x:v>approved trace</x:v>
      </x:c>
    </x:row>
    <x:row r="13" ht="94" customHeight="1">
      <x:c r="A13" s="816" t="str">
        <x:v>SCN-09</x:v>
      </x:c>
      <x:c r="B13" s="816" t="str">
        <x:v>Player becomes lost while engine retains exact location</x:v>
      </x:c>
      <x:c r="C13" s="816" t="str">
        <x:v>SCR-04, SCR-10</x:v>
      </x:c>
      <x:c r="D13" s="816" t="str">
        <x:v>SM-08</x:v>
      </x:c>
      <x:c r="E13" s="816" t="str">
        <x:v>COMMON-002, C2-WORLD-001, C2-WORLD-002, C2-WORLD-006, C2-WORLD-007</x:v>
      </x:c>
      <x:c r="F13" s="816" t="str">
        <x:v>journey-lost; canonical-coordinates-while-lost rejected</x:v>
      </x:c>
      <x:c r="G13" s="816" t="str">
        <x:v>Hidden-coordinate canary; last-known/evidence navigation</x:v>
      </x:c>
      <x:c r="H13" s="844" t="str">
        <x:v>approved trace</x:v>
      </x:c>
    </x:row>
    <x:row r="14" ht="94" customHeight="1">
      <x:c r="A14" s="815" t="str">
        <x:v>SCN-10</x:v>
      </x:c>
      <x:c r="B14" s="815" t="str">
        <x:v>Investigation without hidden-canon leakage</x:v>
      </x:c>
      <x:c r="C14" s="815" t="str">
        <x:v>SCR-11</x:v>
      </x:c>
      <x:c r="D14" s="815" t="str">
        <x:v>SM-03</x:v>
      </x:c>
      <x:c r="E14" s="815" t="str">
        <x:v>COMMON-002, C2-WORLD-003, C2-WORLD-004, C2-WORLD-006</x:v>
      </x:c>
      <x:c r="F14" s="815" t="str">
        <x:v>case-record; site-hidden-feature-count rejected</x:v>
      </x:c>
      <x:c r="G14" s="815" t="str">
        <x:v>Mystery leakage canary; evidence and inference remain distinct</x:v>
      </x:c>
      <x:c r="H14" s="844" t="str">
        <x:v>approved trace</x:v>
      </x:c>
    </x:row>
    <x:row r="15" ht="94" customHeight="1">
      <x:c r="A15" s="816" t="str">
        <x:v>SCN-11</x:v>
      </x:c>
      <x:c r="B15" s="816" t="str">
        <x:v>Player destroys site or kills faction leader</x:v>
      </x:c>
      <x:c r="C15" s="816" t="str">
        <x:v>SCR-10, SCR-11, SCR-12</x:v>
      </x:c>
      <x:c r="D15" s="816" t="str">
        <x:v>SM-03, SM-04</x:v>
      </x:c>
      <x:c r="E15" s="816" t="str">
        <x:v>COMMON-004, RM-C1-003, C2-WORLD-003, C2-WORLD-005, C2-WORLD-007, C2-CHRON-001, C2-CHRON-002</x:v>
      </x:c>
      <x:c r="F15" s="816" t="str">
        <x:v>site breach; front/legal; chronicle consequence and routed event</x:v>
      </x:c>
      <x:c r="G15" s="816" t="str">
        <x:v>Destructive persistence; no protected NPC or silent reset</x:v>
      </x:c>
      <x:c r="H15" s="844" t="str">
        <x:v>approved trace</x:v>
      </x:c>
    </x:row>
    <x:row r="16" ht="94" customHeight="1">
      <x:c r="A16" s="815" t="str">
        <x:v>SCN-12</x:v>
      </x:c>
      <x:c r="B16" s="815" t="str">
        <x:v>Protagonist dies and play continues</x:v>
      </x:c>
      <x:c r="C16" s="815" t="str">
        <x:v>SCR-06, SCR-07, SCR-12</x:v>
      </x:c>
      <x:c r="D16" s="815" t="str">
        <x:v>SM-02, SM-06</x:v>
      </x:c>
      <x:c r="E16" s="815" t="str">
        <x:v>C2-CHAR-001, C2-CHAR-003, C2-COMP-003, C2-CHRON-001</x:v>
      </x:c>
      <x:c r="F16" s="815" t="str">
        <x:v>continuation-afterlife; zero-vitality-declared-dead rejected</x:v>
      </x:c>
      <x:c r="G16" s="815" t="str">
        <x:v>Dying/death/afterlife/successor route matrix</x:v>
      </x:c>
      <x:c r="H16" s="844" t="str">
        <x:v>approved trace</x:v>
      </x:c>
    </x:row>
    <x:row r="17" ht="94" customHeight="1">
      <x:c r="A17" s="816" t="str">
        <x:v>SCN-13</x:v>
      </x:c>
      <x:c r="B17" s="816" t="str">
        <x:v>Player leaves BREAKWATER while Fronts continue</x:v>
      </x:c>
      <x:c r="C17" s="816" t="str">
        <x:v>SCR-01, SCR-10, SCR-11, SCR-12</x:v>
      </x:c>
      <x:c r="D17" s="816" t="str">
        <x:v>SM-04, SM-08</x:v>
      </x:c>
      <x:c r="E17" s="816" t="str">
        <x:v>C2-HOLD-002, C2-HOLD-003, C2-WORLD-002, C2-WORLD-005, C2-WORLD-007, C3-ASY-003</x:v>
      </x:c>
      <x:c r="F17" s="816" t="str">
        <x:v>journey and project interval events; front secret clock rejected; attention digest</x:v>
      </x:c>
      <x:c r="G17" s="816" t="str">
        <x:v>Offscreen simulation; no secret clock; accessible consequence digest</x:v>
      </x:c>
      <x:c r="H17" s="844" t="str">
        <x:v>approved trace</x:v>
      </x:c>
    </x:row>
    <x:row r="18" ht="94" customHeight="1">
      <x:c r="A18" s="815" t="str">
        <x:v>SCN-14</x:v>
      </x:c>
      <x:c r="B18" s="815" t="str">
        <x:v>Comic production runs for extended period</x:v>
      </x:c>
      <x:c r="C18" s="815" t="str">
        <x:v>SCR-12, SCR-13</x:v>
      </x:c>
      <x:c r="D18" s="815" t="str">
        <x:v>SM-04, SM-05</x:v>
      </x:c>
      <x:c r="E18" s="815" t="str">
        <x:v>C3-MED-001, C3-MED-002, C3-MED-003, C3-MED-004, C3-MED-005, C3-MED-006, C3-MED-007, C3-MED-008, C3-CMD-003, C3-CMD-004, C3-CMD-005, C3-CMD-006, C3-EVT-003, C3-EVT-004</x:v>
      </x:c>
      <x:c r="F18" s="815" t="str">
        <x:v>comic capture, Source Lock, job, reader, provenance, publication fixtures plus 12 negative media gates</x:v>
      </x:c>
      <x:c r="G18" s="815" t="str">
        <x:v>Long-running recovery; honest stages; play never blocks</x:v>
      </x:c>
      <x:c r="H18" s="844" t="str">
        <x:v>approved trace</x:v>
      </x:c>
    </x:row>
    <x:row r="19" ht="94" customHeight="1">
      <x:c r="A19" s="816" t="str">
        <x:v>SCN-15</x:v>
      </x:c>
      <x:c r="B19" s="816" t="str">
        <x:v>Issue #0 skipped entirely</x:v>
      </x:c>
      <x:c r="C19" s="816" t="str">
        <x:v>SCR-02</x:v>
      </x:c>
      <x:c r="D19" s="816" t="str">
        <x:v>SM-09, SM-10</x:v>
      </x:c>
      <x:c r="E19" s="816" t="str">
        <x:v>C3-A11Y-002, C3-A11Y-004, C3-MED-005, C3-CMD-002</x:v>
      </x:c>
      <x:c r="F19" s="816" t="str">
        <x:v>issue-zero-skip; issue-zero-blocks-play rejected</x:v>
      </x:c>
      <x:c r="G19" s="816" t="str">
        <x:v>Skip/defer/read/summarize parity; no gameplay penalty</x:v>
      </x:c>
      <x:c r="H19" s="844" t="str">
        <x:v>approved trace</x:v>
      </x:c>
    </x:row>
    <x:row r="20" ht="94" customHeight="1">
      <x:c r="A20" s="815" t="str">
        <x:v>SCN-16</x:v>
      </x:c>
      <x:c r="B20" s="815" t="str">
        <x:v>Screen-reader and reduced-input core loop</x:v>
      </x:c>
      <x:c r="C20" s="815" t="str">
        <x:v>SCR-02, SCR-03, SCR-04, SCR-05, SCR-06, SCR-08, SCR-09, SCR-10, SCR-11, SCR-12, SCR-13, SCR-14</x:v>
      </x:c>
      <x:c r="D20" s="815" t="str">
        <x:v>SM-10</x:v>
      </x:c>
      <x:c r="E20" s="815" t="str">
        <x:v>COMMON-005, RM-005, EVF-010, C3-A11Y-001, C3-A11Y-003, C3-MED-008, C3-CMD-002</x:v>
      </x:c>
      <x:c r="F20" s="815" t="str">
        <x:v>accessibility profile; accessible publication; drag-only and localization-meaning-change rejected</x:v>
      </x:c>
      <x:c r="G20" s="815" t="str">
        <x:v>Keyboard, screen reader, switch, voice and reduced-motion matrix</x:v>
      </x:c>
      <x:c r="H20" s="844" t="str">
        <x:v>approved trace</x:v>
      </x:c>
    </x:row>
    <x:row r="21" ht="94" customHeight="1">
      <x:c r="A21" s="823" t="str">
        <x:v>SCN-17</x:v>
      </x:c>
      <x:c r="B21" s="823" t="str">
        <x:v>Mobile presentation under constrained space</x:v>
      </x:c>
      <x:c r="C21" s="823" t="str">
        <x:v>SCR-01, SCR-02, SCR-03, SCR-04, SCR-05, SCR-06, SCR-07, SCR-08, SCR-09, SCR-10, SCR-11, SCR-12, SCR-13, SCR-14</x:v>
      </x:c>
      <x:c r="D21" s="823" t="str">
        <x:v>SM-01, SM-03, SM-04</x:v>
      </x:c>
      <x:c r="E21" s="823" t="str">
        <x:v>COMMON-003, COMMON-005, RM-002, RM-003, C3-ASY-001, C3-ASY-002, C3-A11Y-001</x:v>
      </x:c>
      <x:c r="F21" s="823" t="str">
        <x:v>degraded connectivity; save recovery; stage freshness and semantic fixtures</x:v>
      </x:c>
      <x:c r="G21" s="823" t="str">
        <x:v>Real-device reflow; agency/state parity; desktop remains primary</x:v>
      </x:c>
      <x:c r="H21" s="845" t="str">
        <x:v>approved trace</x:v>
      </x:c>
    </x:row>
  </x:sheetData>
  <x:mergeCells>
    <x:mergeCell ref="A1:H1"/>
    <x:mergeCell ref="A2:H2"/>
  </x:mergeCells>
  <x:pageMargins left="0.7" right="0.7" top="0.75" bottom="0.75" header="0.3" footer="0.3"/>
  <x:tableParts count="1">
    <x:tablePart xmlns:r="http://schemas.openxmlformats.org/officeDocument/2006/relationships" r:id="R3ce1b3812bfd4c6d"/>
  </x:tableParts>
</x:worksheet>
</file>

<file path=xl/worksheets/sheet50.xml><?xml version="1.0" encoding="utf-8"?>
<x:worksheet xmlns:x="http://schemas.openxmlformats.org/spreadsheetml/2006/main">
  <x:sheetViews>
    <x:sheetView showGridLines="0" workbookViewId="0"/>
  </x:sheetViews>
  <x:sheetFormatPr defaultRowHeight="15"/>
  <x:cols>
    <x:col min="1" max="1" width="12" hidden="0" customWidth="1"/>
    <x:col min="2" max="2" width="37" hidden="0" customWidth="1"/>
    <x:col min="3" max="3" width="76" hidden="0" customWidth="1"/>
    <x:col min="4" max="4" width="29" hidden="0" customWidth="1"/>
    <x:col min="5" max="5" width="23" hidden="0" customWidth="1"/>
    <x:col min="6" max="6" width="65" hidden="0" customWidth="1"/>
    <x:col min="7" max="7" width="21" hidden="0" customWidth="1"/>
    <x:col min="8" max="8" width="35" hidden="0" customWidth="1"/>
  </x:cols>
  <x:sheetData>
    <x:row r="1">
      <x:c r="A1" s="768" t="str">
        <x:v>UI-04 • 15 CI / RELEASE GATES</x:v>
      </x:c>
      <x:c r="B1" s="768" t="str">
        <x:v>UI-04 • 15 CI / RELEASE GATES</x:v>
      </x:c>
      <x:c r="C1" s="768" t="str">
        <x:v>UI-04 • 15 CI / RELEASE GATES</x:v>
      </x:c>
      <x:c r="D1" s="768" t="str">
        <x:v>UI-04 • 15 CI / RELEASE GATES</x:v>
      </x:c>
      <x:c r="E1" s="768" t="str">
        <x:v>UI-04 • 15 CI / RELEASE GATES</x:v>
      </x:c>
      <x:c r="F1" s="768" t="str">
        <x:v>UI-04 • 15 CI / RELEASE GATES</x:v>
      </x:c>
      <x:c r="G1" s="768" t="str">
        <x:v>UI-04 • 15 CI / RELEASE GATES</x:v>
      </x:c>
      <x:c r="H1" s="768" t="str">
        <x:v>UI-04 • 15 CI / RELEASE GATES</x:v>
      </x:c>
    </x:row>
    <x:row r="2">
      <x:c r="A2" s="772" t="str">
        <x:v>Architecture mapping is complete; implementation evidence remains pending and no automated result waives human review</x:v>
      </x:c>
      <x:c r="B2" s="772" t="str">
        <x:v>Architecture mapping is complete; implementation evidence remains pending and no automated result waives human review</x:v>
      </x:c>
      <x:c r="C2" s="772" t="str">
        <x:v>Architecture mapping is complete; implementation evidence remains pending and no automated result waives human review</x:v>
      </x:c>
      <x:c r="D2" s="772" t="str">
        <x:v>Architecture mapping is complete; implementation evidence remains pending and no automated result waives human review</x:v>
      </x:c>
      <x:c r="E2" s="772" t="str">
        <x:v>Architecture mapping is complete; implementation evidence remains pending and no automated result waives human review</x:v>
      </x:c>
      <x:c r="F2" s="772" t="str">
        <x:v>Architecture mapping is complete; implementation evidence remains pending and no automated result waives human review</x:v>
      </x:c>
      <x:c r="G2" s="772" t="str">
        <x:v>Architecture mapping is complete; implementation evidence remains pending and no automated result waives human review</x:v>
      </x:c>
      <x:c r="H2" s="772" t="str">
        <x:v>Architecture mapping is complete; implementation evidence remains pending and no automated result waives human review</x:v>
      </x:c>
    </x:row>
    <x:row r="4">
      <x:c r="A4" s="812" t="str">
        <x:v>Gate</x:v>
      </x:c>
      <x:c r="B4" s="813" t="str">
        <x:v>Name</x:v>
      </x:c>
      <x:c r="C4" s="813" t="str">
        <x:v>Required evidence</x:v>
      </x:c>
      <x:c r="D4" s="813" t="str">
        <x:v>Owner</x:v>
      </x:c>
      <x:c r="E4" s="813" t="str">
        <x:v>Stage</x:v>
      </x:c>
      <x:c r="F4" s="813" t="str">
        <x:v>Blocks when</x:v>
      </x:c>
      <x:c r="G4" s="813" t="str">
        <x:v>Architecture</x:v>
      </x:c>
      <x:c r="H4" s="814" t="str">
        <x:v>Implementation</x:v>
      </x:c>
    </x:row>
    <x:row r="5" ht="92" customHeight="1">
      <x:c r="A5" s="792" t="str">
        <x:v>CI-01</x:v>
      </x:c>
      <x:c r="B5" s="792" t="str">
        <x:v>Contract reference integrity</x:v>
      </x:c>
      <x:c r="C5" s="792" t="str">
        <x:v>Every JSON Schema/OpenAPI/AsyncAPI reference resolves and approved operation/message counts match.</x:v>
      </x:c>
      <x:c r="D5" s="792" t="str">
        <x:v>Platform</x:v>
      </x:c>
      <x:c r="E5" s="792" t="str">
        <x:v>Pull request</x:v>
      </x:c>
      <x:c r="F5" s="792" t="str">
        <x:v>Any unresolved reference, duplicate ID or count drift</x:v>
      </x:c>
      <x:c r="G5" s="843" t="str">
        <x:v>approved architecture mapping</x:v>
      </x:c>
      <x:c r="H5" s="821" t="str">
        <x:v>pending authorized construction</x:v>
      </x:c>
    </x:row>
    <x:row r="6" ht="92" customHeight="1">
      <x:c r="A6" s="815" t="str">
        <x:v>CI-02</x:v>
      </x:c>
      <x:c r="B6" s="815" t="str">
        <x:v>Generated consumer drift</x:v>
      </x:c>
      <x:c r="C6" s="815" t="str">
        <x:v>Generate TypeScript types and runtime validators from approved schemas and require a clean diff.</x:v>
      </x:c>
      <x:c r="D6" s="815" t="str">
        <x:v>Platform/frontend</x:v>
      </x:c>
      <x:c r="E6" s="815" t="str">
        <x:v>Pull request</x:v>
      </x:c>
      <x:c r="F6" s="815" t="str">
        <x:v>Generated output differs or handwritten duplicate model appears</x:v>
      </x:c>
      <x:c r="G6" s="844" t="str">
        <x:v>approved architecture mapping</x:v>
      </x:c>
      <x:c r="H6" s="759" t="str">
        <x:v>pending authorized construction</x:v>
      </x:c>
    </x:row>
    <x:row r="7" ht="92" customHeight="1">
      <x:c r="A7" s="816" t="str">
        <x:v>CI-03</x:v>
      </x:c>
      <x:c r="B7" s="816" t="str">
        <x:v>Deterministic fixture suite</x:v>
      </x:c>
      <x:c r="C7" s="816" t="str">
        <x:v>Run all 127 C1-C3 fixture expectations; positives pass and deliberate negatives fail.</x:v>
      </x:c>
      <x:c r="D7" s="816" t="str">
        <x:v>Quality engineering</x:v>
      </x:c>
      <x:c r="E7" s="816" t="str">
        <x:v>Pull request</x:v>
      </x:c>
      <x:c r="F7" s="816" t="str">
        <x:v>Any expectation fails or a negative payload is accepted</x:v>
      </x:c>
      <x:c r="G7" s="844" t="str">
        <x:v>approved architecture mapping</x:v>
      </x:c>
      <x:c r="H7" s="759" t="str">
        <x:v>pending authorized construction</x:v>
      </x:c>
    </x:row>
    <x:row r="8" ht="92" customHeight="1">
      <x:c r="A8" s="815" t="str">
        <x:v>CI-04</x:v>
      </x:c>
      <x:c r="B8" s="815" t="str">
        <x:v>Knowledge leakage canaries</x:v>
      </x:c>
      <x:c r="C8" s="815" t="str">
        <x:v>Scan public projections, logs, analytics and snapshots for forbidden hidden/private keys and values.</x:v>
      </x:c>
      <x:c r="D8" s="815" t="str">
        <x:v>Security/knowledge</x:v>
      </x:c>
      <x:c r="E8" s="815" t="str">
        <x:v>Pull request + nightly</x:v>
      </x:c>
      <x:c r="F8" s="815" t="str">
        <x:v>Any hidden truth, private motive, secret clock, exact lost coordinates or protected media audit data reaches a public surface</x:v>
      </x:c>
      <x:c r="G8" s="844" t="str">
        <x:v>approved architecture mapping</x:v>
      </x:c>
      <x:c r="H8" s="759" t="str">
        <x:v>pending authorized construction</x:v>
      </x:c>
    </x:row>
    <x:row r="9" ht="92" customHeight="1">
      <x:c r="A9" s="816" t="str">
        <x:v>CI-05</x:v>
      </x:c>
      <x:c r="B9" s="816" t="str">
        <x:v>Command authority and idempotency</x:v>
      </x:c>
      <x:c r="C9" s="816" t="str">
        <x:v>Prove canonical mutation occurs only through approved reducers and duplicate/idempotent/unknown-commit paths are safe.</x:v>
      </x:c>
      <x:c r="D9" s="816" t="str">
        <x:v>Engine</x:v>
      </x:c>
      <x:c r="E9" s="816" t="str">
        <x:v>Pull request + integration</x:v>
      </x:c>
      <x:c r="F9" s="816" t="str">
        <x:v>Duplicate mutation, optimistic canonical state or retry-before-lookup</x:v>
      </x:c>
      <x:c r="G9" s="844" t="str">
        <x:v>approved architecture mapping</x:v>
      </x:c>
      <x:c r="H9" s="759" t="str">
        <x:v>pending authorized construction</x:v>
      </x:c>
    </x:row>
    <x:row r="10" ht="92" customHeight="1">
      <x:c r="A10" s="815" t="str">
        <x:v>CI-06</x:v>
      </x:c>
      <x:c r="B10" s="815" t="str">
        <x:v>Projection freshness and conflict</x:v>
      </x:c>
      <x:c r="C10" s="815" t="str">
        <x:v>Exercise current, last-known, disputed, stale-material, conflict, rebase and renewed-confirmation paths.</x:v>
      </x:c>
      <x:c r="D10" s="815" t="str">
        <x:v>Engine/frontend</x:v>
      </x:c>
      <x:c r="E10" s="815" t="str">
        <x:v>Integration</x:v>
      </x:c>
      <x:c r="F10" s="815" t="str">
        <x:v>Silent merge, stale commit or inaccessible recovery</x:v>
      </x:c>
      <x:c r="G10" s="844" t="str">
        <x:v>approved architecture mapping</x:v>
      </x:c>
      <x:c r="H10" s="759" t="str">
        <x:v>pending authorized construction</x:v>
      </x:c>
    </x:row>
    <x:row r="11" ht="92" customHeight="1">
      <x:c r="A11" s="816" t="str">
        <x:v>CI-07</x:v>
      </x:c>
      <x:c r="B11" s="816" t="str">
        <x:v>Reconnect and durable persistence</x:v>
      </x:c>
      <x:c r="C11" s="816" t="str">
        <x:v>Cold restart, disconnect and provider-failure tests preserve checkpoint, draft, queue, capture, Source Lock and accepted assets.</x:v>
      </x:c>
      <x:c r="D11" s="816" t="str">
        <x:v>Platform/media</x:v>
      </x:c>
      <x:c r="E11" s="816" t="str">
        <x:v>Integration + nightly</x:v>
      </x:c>
      <x:c r="F11" s="816" t="str">
        <x:v>Lost work, duplicate event/page or restarted completed checkpoint</x:v>
      </x:c>
      <x:c r="G11" s="844" t="str">
        <x:v>approved architecture mapping</x:v>
      </x:c>
      <x:c r="H11" s="759" t="str">
        <x:v>pending authorized construction</x:v>
      </x:c>
    </x:row>
    <x:row r="12" ht="92" customHeight="1">
      <x:c r="A12" s="815" t="str">
        <x:v>CI-08</x:v>
      </x:c>
      <x:c r="B12" s="815" t="str">
        <x:v>Accessibility semantics</x:v>
      </x:c>
      <x:c r="C12" s="815" t="str">
        <x:v>Static semantics plus keyboard automation cover landmarks, focus, names, roles, announcements, noncolor cues and non-drag alternatives.</x:v>
      </x:c>
      <x:c r="D12" s="815" t="str">
        <x:v>Accessibility/frontend</x:v>
      </x:c>
      <x:c r="E12" s="815" t="str">
        <x:v>Pull request</x:v>
      </x:c>
      <x:c r="F12" s="815" t="str">
        <x:v>Missing accessible name/role/state, focus loss, drag/hover-only action or color-only meaning</x:v>
      </x:c>
      <x:c r="G12" s="844" t="str">
        <x:v>approved architecture mapping</x:v>
      </x:c>
      <x:c r="H12" s="759" t="str">
        <x:v>pending authorized construction</x:v>
      </x:c>
    </x:row>
    <x:row r="13" ht="92" customHeight="1">
      <x:c r="A13" s="816" t="str">
        <x:v>CI-09</x:v>
      </x:c>
      <x:c r="B13" s="816" t="str">
        <x:v>Human assistive-technology matrix</x:v>
      </x:c>
      <x:c r="C13" s="816" t="str">
        <x:v>Screen-reader, switch/voice, 200% zoom, forced-colors and reduced-motion sessions cover the core loop and media reader.</x:v>
      </x:c>
      <x:c r="D13" s="816" t="str">
        <x:v>Accessibility QA</x:v>
      </x:c>
      <x:c r="E13" s="816" t="str">
        <x:v>Release candidate</x:v>
      </x:c>
      <x:c r="F13" s="816" t="str">
        <x:v>Any core capability lacks parity or material update is inaccessible</x:v>
      </x:c>
      <x:c r="G13" s="844" t="str">
        <x:v>approved architecture mapping</x:v>
      </x:c>
      <x:c r="H13" s="759" t="str">
        <x:v>pending authorized construction</x:v>
      </x:c>
    </x:row>
    <x:row r="14" ht="92" customHeight="1">
      <x:c r="A14" s="815" t="str">
        <x:v>CI-10</x:v>
      </x:c>
      <x:c r="B14" s="815" t="str">
        <x:v>Localization and content fidelity</x:v>
      </x:c>
      <x:c r="C14" s="815" t="str">
        <x:v>Pseudo-locales, RTL, long strings, glyph coverage and dialogue/outcome source comparison run across play and comic lettering.</x:v>
      </x:c>
      <x:c r="D14" s="815" t="str">
        <x:v>Localization QA</x:v>
      </x:c>
      <x:c r="E14" s="815" t="str">
        <x:v>Pull request + release candidate</x:v>
      </x:c>
      <x:c r="F14" s="815" t="str">
        <x:v>Clipped critical state, broken reading order or changed promise/fact/outcome meaning</x:v>
      </x:c>
      <x:c r="G14" s="844" t="str">
        <x:v>approved architecture mapping</x:v>
      </x:c>
      <x:c r="H14" s="759" t="str">
        <x:v>pending authorized construction</x:v>
      </x:c>
    </x:row>
    <x:row r="15" ht="92" customHeight="1">
      <x:c r="A15" s="816" t="str">
        <x:v>CI-11</x:v>
      </x:c>
      <x:c r="B15" s="816" t="str">
        <x:v>Media publication hard gates</x:v>
      </x:c>
      <x:c r="C15" s="816" t="str">
        <x:v>Block publication unless Source Lock, rights, provenance, retained bytes, QA and accessibility package all pass.</x:v>
      </x:c>
      <x:c r="D15" s="816" t="str">
        <x:v>Media/QA</x:v>
      </x:c>
      <x:c r="E15" s="816" t="str">
        <x:v>Integration + release</x:v>
      </x:c>
      <x:c r="F15" s="816" t="str">
        <x:v>WIP without opt-in, knowledge-ceiling breach, failed asset, mutable edition or missing lineage</x:v>
      </x:c>
      <x:c r="G15" s="844" t="str">
        <x:v>approved architecture mapping</x:v>
      </x:c>
      <x:c r="H15" s="759" t="str">
        <x:v>pending authorized construction</x:v>
      </x:c>
    </x:row>
    <x:row r="16" ht="92" customHeight="1">
      <x:c r="A16" s="815" t="str">
        <x:v>CI-12</x:v>
      </x:c>
      <x:c r="B16" s="815" t="str">
        <x:v>Privacy-safe analytics</x:v>
      </x:c>
      <x:c r="C16" s="815" t="str">
        <x:v>Schema-validate telemetry and scan for prose, prompts, raw dialogue, private canon and asset bytes.</x:v>
      </x:c>
      <x:c r="D16" s="815" t="str">
        <x:v>Privacy/platform</x:v>
      </x:c>
      <x:c r="E16" s="815" t="str">
        <x:v>Pull request + production canary</x:v>
      </x:c>
      <x:c r="F16" s="815" t="str">
        <x:v>Any prohibited content or analytics-driven play mutation</x:v>
      </x:c>
      <x:c r="G16" s="844" t="str">
        <x:v>approved architecture mapping</x:v>
      </x:c>
      <x:c r="H16" s="759" t="str">
        <x:v>pending authorized construction</x:v>
      </x:c>
    </x:row>
    <x:row r="17" ht="92" customHeight="1">
      <x:c r="A17" s="816" t="str">
        <x:v>CI-13</x:v>
      </x:c>
      <x:c r="B17" s="816" t="str">
        <x:v>Visual and responsive regression</x:v>
      </x:c>
      <x:c r="C17" s="816" t="str">
        <x:v>Compare approved desktop-first screens and compact capability variants across loading/empty/stale/conflict/recovery states.</x:v>
      </x:c>
      <x:c r="D17" s="816" t="str">
        <x:v>Design/frontend</x:v>
      </x:c>
      <x:c r="E17" s="816" t="str">
        <x:v>Pull request + release candidate</x:v>
      </x:c>
      <x:c r="F17" s="816" t="str">
        <x:v>Critical clipping, hierarchy loss, asset-truth dependency or capability loss</x:v>
      </x:c>
      <x:c r="G17" s="844" t="str">
        <x:v>approved architecture mapping</x:v>
      </x:c>
      <x:c r="H17" s="759" t="str">
        <x:v>pending authorized construction</x:v>
      </x:c>
    </x:row>
    <x:row r="18" ht="92" customHeight="1">
      <x:c r="A18" s="815" t="str">
        <x:v>CI-14</x:v>
      </x:c>
      <x:c r="B18" s="815" t="str">
        <x:v>17-scenario release suite</x:v>
      </x:c>
      <x:c r="C18" s="815" t="str">
        <x:v>Execute the scenario closure matrix against a deterministic campaign and retain contract/UI/engine evidence.</x:v>
      </x:c>
      <x:c r="D18" s="815" t="str">
        <x:v>Quality engineering</x:v>
      </x:c>
      <x:c r="E18" s="815" t="str">
        <x:v>Release candidate</x:v>
      </x:c>
      <x:c r="F18" s="815" t="str">
        <x:v>Any scenario lacks evidence or violates its canon/knowledge guardrail</x:v>
      </x:c>
      <x:c r="G18" s="844" t="str">
        <x:v>approved architecture mapping</x:v>
      </x:c>
      <x:c r="H18" s="759" t="str">
        <x:v>pending authorized construction</x:v>
      </x:c>
    </x:row>
    <x:row r="19" ht="92" customHeight="1">
      <x:c r="A19" s="823" t="str">
        <x:v>CI-15</x:v>
      </x:c>
      <x:c r="B19" s="823" t="str">
        <x:v>Performance and long-session resilience</x:v>
      </x:c>
      <x:c r="C19" s="823" t="str">
        <x:v>Measure first meaningful choice, interaction latency, two-hour memory/readability, event backlog and offline recovery.</x:v>
      </x:c>
      <x:c r="D19" s="823" t="str">
        <x:v>Performance/research</x:v>
      </x:c>
      <x:c r="E19" s="823" t="str">
        <x:v>Nightly + release candidate</x:v>
      </x:c>
      <x:c r="F19" s="823" t="str">
        <x:v>Budget breach, unreadable accumulation, lost state or blocked play</x:v>
      </x:c>
      <x:c r="G19" s="845" t="str">
        <x:v>approved architecture mapping</x:v>
      </x:c>
      <x:c r="H19" s="822" t="str">
        <x:v>pending authorized construction</x:v>
      </x:c>
    </x:row>
  </x:sheetData>
  <x:mergeCells>
    <x:mergeCell ref="A1:H1"/>
    <x:mergeCell ref="A2:H2"/>
  </x:mergeCells>
  <x:pageMargins left="0.7" right="0.7" top="0.75" bottom="0.75" header="0.3" footer="0.3"/>
  <x:tableParts count="1">
    <x:tablePart xmlns:r="http://schemas.openxmlformats.org/officeDocument/2006/relationships" r:id="R90fce4522255400e"/>
  </x:tableParts>
</x:worksheet>
</file>

<file path=xl/worksheets/sheet51.xml><?xml version="1.0" encoding="utf-8"?>
<x:worksheet xmlns:x="http://schemas.openxmlformats.org/spreadsheetml/2006/main">
  <x:sheetViews>
    <x:sheetView showGridLines="0" workbookViewId="0"/>
  </x:sheetViews>
  <x:sheetFormatPr defaultRowHeight="15"/>
  <x:cols>
    <x:col min="1" max="1" width="12" hidden="0" customWidth="1"/>
    <x:col min="2" max="2" width="13" hidden="0" customWidth="1"/>
    <x:col min="3" max="3" width="38" hidden="0" customWidth="1"/>
    <x:col min="4" max="4" width="31" hidden="0" customWidth="1"/>
    <x:col min="5" max="5" width="55" hidden="0" customWidth="1"/>
    <x:col min="6" max="6" width="75" hidden="0" customWidth="1"/>
    <x:col min="7" max="7" width="23" hidden="0" customWidth="1"/>
    <x:col min="8" max="8" width="38" hidden="0" customWidth="1"/>
  </x:cols>
  <x:sheetData>
    <x:row r="1">
      <x:c r="A1" s="768" t="str">
        <x:v>UI-04 • 16 ORDERED EXECUTION PACKETS</x:v>
      </x:c>
      <x:c r="B1" s="768" t="str">
        <x:v>UI-04 • 16 ORDERED EXECUTION PACKETS</x:v>
      </x:c>
      <x:c r="C1" s="768" t="str">
        <x:v>UI-04 • 16 ORDERED EXECUTION PACKETS</x:v>
      </x:c>
      <x:c r="D1" s="768" t="str">
        <x:v>UI-04 • 16 ORDERED EXECUTION PACKETS</x:v>
      </x:c>
      <x:c r="E1" s="768" t="str">
        <x:v>UI-04 • 16 ORDERED EXECUTION PACKETS</x:v>
      </x:c>
      <x:c r="F1" s="768" t="str">
        <x:v>UI-04 • 16 ORDERED EXECUTION PACKETS</x:v>
      </x:c>
      <x:c r="G1" s="768" t="str">
        <x:v>UI-04 • 16 ORDERED EXECUTION PACKETS</x:v>
      </x:c>
      <x:c r="H1" s="768" t="str">
        <x:v>UI-04 • 16 ORDERED EXECUTION PACKETS</x:v>
      </x:c>
    </x:row>
    <x:row r="2">
      <x:c r="A2" s="772" t="str">
        <x:v>This build order is specification only; every packet remains not started until the final explicit clean-session implementation authorization</x:v>
      </x:c>
      <x:c r="B2" s="772" t="str">
        <x:v>This build order is specification only; every packet remains not started until the final explicit production authorization</x:v>
      </x:c>
      <x:c r="C2" s="772" t="str">
        <x:v>This build order is specification only; every packet remains not started until the final explicit production authorization</x:v>
      </x:c>
      <x:c r="D2" s="772" t="str">
        <x:v>This build order is specification only; every packet remains not started until the final explicit production authorization</x:v>
      </x:c>
      <x:c r="E2" s="772" t="str">
        <x:v>This build order is specification only; every packet remains not started until the final explicit production authorization</x:v>
      </x:c>
      <x:c r="F2" s="772" t="str">
        <x:v>This build order is specification only; every packet remains not started until the final explicit production authorization</x:v>
      </x:c>
      <x:c r="G2" s="772" t="str">
        <x:v>This build order is specification only; every packet remains not started until the final explicit production authorization</x:v>
      </x:c>
      <x:c r="H2" s="772" t="str">
        <x:v>This build order is specification only; every packet remains not started until the final explicit production authorization</x:v>
      </x:c>
    </x:row>
    <x:row r="4">
      <x:c r="A4" s="812" t="str">
        <x:v>Sequence</x:v>
      </x:c>
      <x:c r="B4" s="813" t="str">
        <x:v>Packet</x:v>
      </x:c>
      <x:c r="C4" s="813" t="str">
        <x:v>Name</x:v>
      </x:c>
      <x:c r="D4" s="813" t="str">
        <x:v>Dependencies</x:v>
      </x:c>
      <x:c r="E4" s="813" t="str">
        <x:v>Entry criteria</x:v>
      </x:c>
      <x:c r="F4" s="813" t="str">
        <x:v>Exit criteria</x:v>
      </x:c>
      <x:c r="G4" s="813" t="str">
        <x:v>CI gates</x:v>
      </x:c>
      <x:c r="H4" s="814" t="str">
        <x:v>Production status</x:v>
      </x:c>
    </x:row>
    <x:row r="5" ht="94" customHeight="1">
      <x:c r="A5" s="792" t="n">
        <x:v>0</x:v>
      </x:c>
      <x:c r="B5" s="792" t="str">
        <x:v>EP-00</x:v>
      </x:c>
      <x:c r="C5" s="792" t="str">
        <x:v>Authorize and pin execution profile</x:v>
      </x:c>
      <x:c r="D5" s="792" t="str">
        <x:v>None</x:v>
      </x:c>
      <x:c r="E5" s="792" t="str">
        <x:v>Approved UI-04 plus explicit clean-session implementation authorization</x:v>
      </x:c>
      <x:c r="F5" s="792" t="str">
        <x:v>Record runtime/package/browser support matrix, lockfile, repository conventions and CI baseline</x:v>
      </x:c>
      <x:c r="G5" s="792" t="str">
        <x:v>CI-01</x:v>
      </x:c>
      <x:c r="H5" s="846" t="str">
        <x:v>Not started · explicit clean-session authorization required</x:v>
      </x:c>
    </x:row>
    <x:row r="6" ht="94" customHeight="1">
      <x:c r="A6" s="815" t="n">
        <x:v>1</x:v>
      </x:c>
      <x:c r="B6" s="815" t="str">
        <x:v>EP-01</x:v>
      </x:c>
      <x:c r="C6" s="815" t="str">
        <x:v>Generate contract consumers</x:v>
      </x:c>
      <x:c r="D6" s="815" t="str">
        <x:v>EP-00</x:v>
      </x:c>
      <x:c r="E6" s="815" t="str">
        <x:v>Pinned C1–C3 sources</x:v>
      </x:c>
      <x:c r="F6" s="815" t="str">
        <x:v>Generate strict types, validators and registries; pass all 127 fixtures and clean-diff gate</x:v>
      </x:c>
      <x:c r="G6" s="815" t="str">
        <x:v>CI-01,CI-02,CI-03</x:v>
      </x:c>
      <x:c r="H6" s="847" t="str">
        <x:v>Not started · explicit clean-session authorization required</x:v>
      </x:c>
    </x:row>
    <x:row r="7" ht="94" customHeight="1">
      <x:c r="A7" s="816" t="n">
        <x:v>2</x:v>
      </x:c>
      <x:c r="B7" s="816" t="str">
        <x:v>EP-02</x:v>
      </x:c>
      <x:c r="C7" s="816" t="str">
        <x:v>Build ports and deterministic fakes</x:v>
      </x:c>
      <x:c r="D7" s="816" t="str">
        <x:v>EP-01</x:v>
      </x:c>
      <x:c r="E7" s="816" t="str">
        <x:v>L1 generated consumers</x:v>
      </x:c>
      <x:c r="F7" s="816" t="str">
        <x:v>Implement L2 port interfaces, fake projection/command/event/recovery/media services and failure injection</x:v>
      </x:c>
      <x:c r="G7" s="816" t="str">
        <x:v>CI-03,CI-04,CI-05</x:v>
      </x:c>
      <x:c r="H7" s="847" t="str">
        <x:v>Not started · explicit clean-session authorization required</x:v>
      </x:c>
    </x:row>
    <x:row r="8" ht="94" customHeight="1">
      <x:c r="A8" s="815" t="n">
        <x:v>3</x:v>
      </x:c>
      <x:c r="B8" s="815" t="str">
        <x:v>EP-03</x:v>
      </x:c>
      <x:c r="C8" s="815" t="str">
        <x:v>Build shell and accessibility infrastructure</x:v>
      </x:c>
      <x:c r="D8" s="815" t="str">
        <x:v>EP-02</x:v>
      </x:c>
      <x:c r="E8" s="815" t="str">
        <x:v>UI-01 shell contracts</x:v>
      </x:c>
      <x:c r="F8" s="815" t="str">
        <x:v>Deliver World Strip, rail, route header, focus/announcement/localization/preference infrastructure</x:v>
      </x:c>
      <x:c r="G8" s="815" t="str">
        <x:v>CI-08,CI-10,CI-13</x:v>
      </x:c>
      <x:c r="H8" s="847" t="str">
        <x:v>Not started · explicit clean-session authorization required</x:v>
      </x:c>
    </x:row>
    <x:row r="9" ht="94" customHeight="1">
      <x:c r="A9" s="816" t="n">
        <x:v>4</x:v>
      </x:c>
      <x:c r="B9" s="816" t="str">
        <x:v>EP-04</x:v>
      </x:c>
      <x:c r="C9" s="816" t="str">
        <x:v>Campaign entry and Issue Zero</x:v>
      </x:c>
      <x:c r="D9" s="816" t="str">
        <x:v>EP-03</x:v>
      </x:c>
      <x:c r="E9" s="816" t="str">
        <x:v>SCR-01–03 · SM-01/09/10</x:v>
      </x:c>
      <x:c r="F9" s="816" t="str">
        <x:v>Reach first meaningful choice without lore gate; character/BP draft audit works against fixtures</x:v>
      </x:c>
      <x:c r="G9" s="816" t="str">
        <x:v>CI-08,CI-14</x:v>
      </x:c>
      <x:c r="H9" s="847" t="str">
        <x:v>Not started · explicit clean-session authorization required</x:v>
      </x:c>
    </x:row>
    <x:row r="10" ht="94" customHeight="1">
      <x:c r="A10" s="815" t="n">
        <x:v>5</x:v>
      </x:c>
      <x:c r="B10" s="815" t="str">
        <x:v>EP-05</x:v>
      </x:c>
      <x:c r="C10" s="815" t="str">
        <x:v>Living Stage read composition</x:v>
      </x:c>
      <x:c r="D10" s="815" t="str">
        <x:v>EP-03</x:v>
      </x:c>
      <x:c r="E10" s="815" t="str">
        <x:v>SCR-04 · PRE-02</x:v>
      </x:c>
      <x:c r="F10" s="815" t="str">
        <x:v>Render viewpoint-safe Stage, lenses, pressures and optional art with semantic fallback</x:v>
      </x:c>
      <x:c r="G10" s="815" t="str">
        <x:v>CI-04,CI-13,CI-15</x:v>
      </x:c>
      <x:c r="H10" s="847" t="str">
        <x:v>Not started · explicit clean-session authorization required</x:v>
      </x:c>
    </x:row>
    <x:row r="11" ht="94" customHeight="1">
      <x:c r="A11" s="816" t="n">
        <x:v>6</x:v>
      </x:c>
      <x:c r="B11" s="816" t="str">
        <x:v>EP-06</x:v>
      </x:c>
      <x:c r="C11" s="816" t="str">
        <x:v>Intent-to-resolution action loop</x:v>
      </x:c>
      <x:c r="D11" s="816" t="str">
        <x:v>EP-05</x:v>
      </x:c>
      <x:c r="E11" s="816" t="str">
        <x:v>SCR-05–06 · SM-02/03</x:v>
      </x:c>
      <x:c r="F11" s="816" t="str">
        <x:v>Interpret, revise, forecast, confirm, commit, lookup and render all receipt branches without optimistic canon</x:v>
      </x:c>
      <x:c r="G11" s="816" t="str">
        <x:v>CI-05,CI-06,CI-14</x:v>
      </x:c>
      <x:c r="H11" s="847" t="str">
        <x:v>Not started · explicit clean-session authorization required</x:v>
      </x:c>
    </x:row>
    <x:row r="12" ht="94" customHeight="1">
      <x:c r="A12" s="815" t="n">
        <x:v>7</x:v>
      </x:c>
      <x:c r="B12" s="815" t="str">
        <x:v>EP-07</x:v>
      </x:c>
      <x:c r="C12" s="815" t="str">
        <x:v>Durable reconnect and recovery</x:v>
      </x:c>
      <x:c r="D12" s="815" t="str">
        <x:v>EP-02, EP-06</x:v>
      </x:c>
      <x:c r="E12" s="815" t="str">
        <x:v>SCR-13 · SM-03/04</x:v>
      </x:c>
      <x:c r="F12" s="815" t="str">
        <x:v>Preserve draft/idempotency/cursor/checkpoint references across simulated loss and cold restart</x:v>
      </x:c>
      <x:c r="G12" s="815" t="str">
        <x:v>CI-06,CI-07</x:v>
      </x:c>
      <x:c r="H12" s="847" t="str">
        <x:v>Not started · explicit clean-session authorization required</x:v>
      </x:c>
    </x:row>
    <x:row r="13" ht="94" customHeight="1">
      <x:c r="A13" s="816" t="n">
        <x:v>8</x:v>
      </x:c>
      <x:c r="B13" s="816" t="str">
        <x:v>EP-08</x:v>
      </x:c>
      <x:c r="C13" s="816" t="str">
        <x:v>Character and progression</x:v>
      </x:c>
      <x:c r="D13" s="816" t="str">
        <x:v>EP-04, EP-07</x:v>
      </x:c>
      <x:c r="E13" s="816" t="str">
        <x:v>SCR-07 · SM-06</x:v>
      </x:c>
      <x:c r="F13" s="816" t="str">
        <x:v>Implement BP ledger, condition, continuation and advancement legal/conflict paths</x:v>
      </x:c>
      <x:c r="G13" s="816" t="str">
        <x:v>CI-03,CI-14</x:v>
      </x:c>
      <x:c r="H13" s="847" t="str">
        <x:v>Not started · explicit clean-session authorization required</x:v>
      </x:c>
    </x:row>
    <x:row r="14" ht="94" customHeight="1">
      <x:c r="A14" s="815" t="n">
        <x:v>9</x:v>
      </x:c>
      <x:c r="B14" s="815" t="str">
        <x:v>EP-09</x:v>
      </x:c>
      <x:c r="C14" s="815" t="str">
        <x:v>Company, relationships and Relic agency</x:v>
      </x:c>
      <x:c r="D14" s="815" t="str">
        <x:v>EP-05, EP-07</x:v>
      </x:c>
      <x:c r="E14" s="815" t="str">
        <x:v>SCR-08</x:v>
      </x:c>
      <x:c r="F14" s="815" t="str">
        <x:v>Implement refusal/counteroffer and knowledge-safe relationship/relic projections</x:v>
      </x:c>
      <x:c r="G14" s="815" t="str">
        <x:v>CI-04,CI-14</x:v>
      </x:c>
      <x:c r="H14" s="847" t="str">
        <x:v>Not started · explicit clean-session authorization required</x:v>
      </x:c>
    </x:row>
    <x:row r="15" ht="94" customHeight="1">
      <x:c r="A15" s="816" t="n">
        <x:v>10</x:v>
      </x:c>
      <x:c r="B15" s="816" t="str">
        <x:v>EP-10</x:v>
      </x:c>
      <x:c r="C15" s="816" t="str">
        <x:v>Holdings, custody and projects</x:v>
      </x:c>
      <x:c r="D15" s="816" t="str">
        <x:v>EP-05, EP-07</x:v>
      </x:c>
      <x:c r="E15" s="816" t="str">
        <x:v>SCR-09 · SM-07</x:v>
      </x:c>
      <x:c r="F15" s="816" t="str">
        <x:v>Implement checkpoint, destructive confirmation and custody authority paths</x:v>
      </x:c>
      <x:c r="G15" s="816" t="str">
        <x:v>CI-05,CI-14</x:v>
      </x:c>
      <x:c r="H15" s="847" t="str">
        <x:v>Not started · explicit clean-session authorization required</x:v>
      </x:c>
    </x:row>
    <x:row r="16" ht="94" customHeight="1">
      <x:c r="A16" s="815" t="n">
        <x:v>11</x:v>
      </x:c>
      <x:c r="B16" s="815" t="str">
        <x:v>EP-11</x:v>
      </x:c>
      <x:c r="C16" s="815" t="str">
        <x:v>World atlas and travel</x:v>
      </x:c>
      <x:c r="D16" s="815" t="str">
        <x:v>EP-05, EP-07</x:v>
      </x:c>
      <x:c r="E16" s="815" t="str">
        <x:v>SCR-10 · SM-08</x:v>
      </x:c>
      <x:c r="F16" s="815" t="str">
        <x:v>Implement semantic map/table parity, journey intervals, lost and conflict paths</x:v>
      </x:c>
      <x:c r="G16" s="815" t="str">
        <x:v>CI-04,CI-08,CI-14</x:v>
      </x:c>
      <x:c r="H16" s="847" t="str">
        <x:v>Not started · explicit clean-session authorization required</x:v>
      </x:c>
    </x:row>
    <x:row r="17" ht="94" customHeight="1">
      <x:c r="A17" s="816" t="n">
        <x:v>12</x:v>
      </x:c>
      <x:c r="B17" s="816" t="str">
        <x:v>EP-12</x:v>
      </x:c>
      <x:c r="C17" s="816" t="str">
        <x:v>Cases, evidence, fronts and law</x:v>
      </x:c>
      <x:c r="D17" s="816" t="str">
        <x:v>EP-11</x:v>
      </x:c>
      <x:c r="E17" s="816" t="str">
        <x:v>SCR-11</x:v>
      </x:c>
      <x:c r="F17" s="816" t="str">
        <x:v>Implement knowledge-class evidence and case claims without leakage</x:v>
      </x:c>
      <x:c r="G17" s="816" t="str">
        <x:v>CI-04,CI-14</x:v>
      </x:c>
      <x:c r="H17" s="847" t="str">
        <x:v>Not started · explicit clean-session authorization required</x:v>
      </x:c>
    </x:row>
    <x:row r="18" ht="94" customHeight="1">
      <x:c r="A18" s="815" t="n">
        <x:v>13</x:v>
      </x:c>
      <x:c r="B18" s="815" t="str">
        <x:v>EP-13</x:v>
      </x:c>
      <x:c r="C18" s="815" t="str">
        <x:v>Chronicle and media</x:v>
      </x:c>
      <x:c r="D18" s="815" t="str">
        <x:v>EP-07, EP-12</x:v>
      </x:c>
      <x:c r="E18" s="815" t="str">
        <x:v>SCR-12 · SM-05 · PRE-06</x:v>
      </x:c>
      <x:c r="F18" s="815" t="str">
        <x:v>Implement capture through immutable edition, provider recovery and all publication gates</x:v>
      </x:c>
      <x:c r="G18" s="815" t="str">
        <x:v>CI-09,CI-11,CI-12</x:v>
      </x:c>
      <x:c r="H18" s="847" t="str">
        <x:v>Not started · explicit clean-session authorization required</x:v>
      </x:c>
    </x:row>
    <x:row r="19" ht="94" customHeight="1">
      <x:c r="A19" s="816" t="n">
        <x:v>14</x:v>
      </x:c>
      <x:c r="B19" s="816" t="str">
        <x:v>EP-14</x:v>
      </x:c>
      <x:c r="C19" s="816" t="str">
        <x:v>Asset production integration</x:v>
      </x:c>
      <x:c r="D19" s="816" t="str">
        <x:v>EP-05, EP-08, EP-09, EP-10, EP-11, EP-13</x:v>
      </x:c>
      <x:c r="E19" s="816" t="str">
        <x:v>Approved UI-03 manifest</x:v>
      </x:c>
      <x:c r="F19" s="816" t="str">
        <x:v>Bind immutable descriptors, reference-safe direction and fallbacks; complete rights/canon/alt/crop review by wave</x:v>
      </x:c>
      <x:c r="G19" s="816" t="str">
        <x:v>CI-09,CI-13,CI-15</x:v>
      </x:c>
      <x:c r="H19" s="847" t="str">
        <x:v>Not started · explicit clean-session authorization required</x:v>
      </x:c>
    </x:row>
    <x:row r="20" ht="94" customHeight="1">
      <x:c r="A20" s="817" t="n">
        <x:v>15</x:v>
      </x:c>
      <x:c r="B20" s="817" t="str">
        <x:v>EP-15</x:v>
      </x:c>
      <x:c r="C20" s="817" t="str">
        <x:v>Full validation and readiness evidence</x:v>
      </x:c>
      <x:c r="D20" s="817" t="str">
        <x:v>EP-04, EP-06, EP-07, EP-08, EP-09, EP-10, EP-11, EP-12, EP-13, EP-14</x:v>
      </x:c>
      <x:c r="E20" s="817" t="str">
        <x:v>All screen families</x:v>
      </x:c>
      <x:c r="F20" s="817" t="str">
        <x:v>Run 15 gates, 17 scenarios, 40 components, target browsers, AT matrix, privacy, performance and long session; no failed gate</x:v>
      </x:c>
      <x:c r="G20" s="817" t="str">
        <x:v>CI-01–15</x:v>
      </x:c>
      <x:c r="H20" s="848" t="str">
        <x:v>Not started · explicit clean-session authorization required</x:v>
      </x:c>
    </x:row>
  </x:sheetData>
  <x:mergeCells>
    <x:mergeCell ref="A1:H1"/>
    <x:mergeCell ref="A2:H2"/>
  </x:mergeCells>
  <x:pageMargins left="0.7" right="0.7" top="0.75" bottom="0.75" header="0.3" footer="0.3"/>
  <x:tableParts count="1">
    <x:tablePart xmlns:r="http://schemas.openxmlformats.org/officeDocument/2006/relationships" r:id="Ra23ec965dae84075"/>
  </x:tableParts>
</x:worksheet>
</file>

<file path=xl/worksheets/sheet52.xml><?xml version="1.0" encoding="utf-8"?>
<x:worksheet xmlns:x="http://schemas.openxmlformats.org/spreadsheetml/2006/main">
  <x:sheetViews>
    <x:sheetView showGridLines="0" workbookViewId="0"/>
  </x:sheetViews>
  <x:sheetFormatPr defaultRowHeight="15"/>
  <x:cols>
    <x:col min="1" max="1" width="12" hidden="0" customWidth="1"/>
    <x:col min="2" max="2" width="34" hidden="0" customWidth="1"/>
    <x:col min="3" max="3" width="78" hidden="0" customWidth="1"/>
    <x:col min="4" max="4" width="47" hidden="0" customWidth="1"/>
    <x:col min="5" max="5" width="70" hidden="0" customWidth="1"/>
  </x:cols>
  <x:sheetData>
    <x:row r="1">
      <x:c r="A1" s="768" t="str">
        <x:v>UI-04 • CLIENT STORE OWNERSHIP AND FORBIDDEN DATA</x:v>
      </x:c>
      <x:c r="B1" s="768" t="str">
        <x:v>UI-04 • CLIENT STORE OWNERSHIP AND FORBIDDEN DATA</x:v>
      </x:c>
      <x:c r="C1" s="768" t="str">
        <x:v>UI-04 • CLIENT STORE OWNERSHIP AND FORBIDDEN DATA</x:v>
      </x:c>
      <x:c r="D1" s="768" t="str">
        <x:v>UI-04 • CLIENT STORE OWNERSHIP AND FORBIDDEN DATA</x:v>
      </x:c>
      <x:c r="E1" s="768" t="str">
        <x:v>UI-04 • CLIENT STORE OWNERSHIP AND FORBIDDEN DATA</x:v>
      </x:c>
    </x:row>
    <x:row r="2">
      <x:c r="A2" s="772" t="str">
        <x:v>Projection, draft, workflow, recovery, preference, attention and media state remain separated by authority</x:v>
      </x:c>
      <x:c r="B2" s="772" t="str">
        <x:v>Projection, draft, workflow, recovery, preference, attention and media state remain separated by authority</x:v>
      </x:c>
      <x:c r="C2" s="772" t="str">
        <x:v>Projection, draft, workflow, recovery, preference, attention and media state remain separated by authority</x:v>
      </x:c>
      <x:c r="D2" s="772" t="str">
        <x:v>Projection, draft, workflow, recovery, preference, attention and media state remain separated by authority</x:v>
      </x:c>
      <x:c r="E2" s="772" t="str">
        <x:v>Projection, draft, workflow, recovery, preference, attention and media state remain separated by authority</x:v>
      </x:c>
    </x:row>
    <x:row r="4">
      <x:c r="A4" s="812" t="str">
        <x:v>Store</x:v>
      </x:c>
      <x:c r="B4" s="813" t="str">
        <x:v>Name</x:v>
      </x:c>
      <x:c r="C4" s="813" t="str">
        <x:v>Allowed contents</x:v>
      </x:c>
      <x:c r="D4" s="813" t="str">
        <x:v>Persistence</x:v>
      </x:c>
      <x:c r="E4" s="814" t="str">
        <x:v>Forbidden</x:v>
      </x:c>
    </x:row>
    <x:row r="5" ht="94" customHeight="1">
      <x:c r="A5" s="792" t="str">
        <x:v>ST-01</x:v>
      </x:c>
      <x:c r="B5" s="792" t="str">
        <x:v>Session and campaign scope</x:v>
      </x:c>
      <x:c r="C5" s="792" t="str">
        <x:v>authenticated public identity reference • active campaign • viewpoint • contract registry</x:v>
      </x:c>
      <x:c r="D5" s="792" t="str">
        <x:v>session boundary</x:v>
      </x:c>
      <x:c r="E5" s="792" t="str">
        <x:v>secrets • hidden truth • private motives</x:v>
      </x:c>
    </x:row>
    <x:row r="6" ht="94" customHeight="1">
      <x:c r="A6" s="815" t="str">
        <x:v>ST-02</x:v>
      </x:c>
      <x:c r="B6" s="815" t="str">
        <x:v>Route projection cache</x:v>
      </x:c>
      <x:c r="C6" s="815" t="str">
        <x:v>validated ReadModelEnvelope • freshness • state basis • knowledge snapshot • public provenance</x:v>
      </x:c>
      <x:c r="D6" s="815" t="str">
        <x:v>memory with safe revalidation metadata</x:v>
      </x:c>
      <x:c r="E6" s="815" t="str">
        <x:v>cross-viewpoint merge • unvalidated payload • canonical reducer</x:v>
      </x:c>
    </x:row>
    <x:row r="7" ht="94" customHeight="1">
      <x:c r="A7" s="816" t="str">
        <x:v>ST-03</x:v>
      </x:c>
      <x:c r="B7" s="816" t="str">
        <x:v>Durable draft store</x:v>
      </x:c>
      <x:c r="C7" s="816" t="str">
        <x:v>intent • character • advancement • journey • project • case • review drafts • idempotency envelope before send</x:v>
      </x:c>
      <x:c r="D7" s="816" t="str">
        <x:v>versioned local persistence scoped by campaign/viewpoint/user</x:v>
      </x:c>
      <x:c r="E7" s="816" t="str">
        <x:v>authoritative state • published media bytes • credentials</x:v>
      </x:c>
    </x:row>
    <x:row r="8" ht="94" customHeight="1">
      <x:c r="A8" s="815" t="str">
        <x:v>ST-04</x:v>
      </x:c>
      <x:c r="B8" s="815" t="str">
        <x:v>Workflow state</x:v>
      </x:c>
      <x:c r="C8" s="815" t="str">
        <x:v>state-machine nodes • safe transition context • pending receipt IDs</x:v>
      </x:c>
      <x:c r="D8" s="815" t="str">
        <x:v>memory; recovery keys mirrored through ST-03</x:v>
      </x:c>
      <x:c r="E8" s="815" t="str">
        <x:v>business rules absent from contracts • hidden fields</x:v>
      </x:c>
    </x:row>
    <x:row r="9" ht="94" customHeight="1">
      <x:c r="A9" s="816" t="str">
        <x:v>ST-05</x:v>
      </x:c>
      <x:c r="B9" s="816" t="str">
        <x:v>Connectivity and recovery</x:v>
      </x:c>
      <x:c r="C9" s="816" t="str">
        <x:v>validated connectivity • checkpoint/cursor references • contract-safe recovery actions</x:v>
      </x:c>
      <x:c r="D9" s="816" t="str">
        <x:v>memory plus last durable public checkpoint reference</x:v>
      </x:c>
      <x:c r="E9" s="816" t="str">
        <x:v>fabricated save success • private missed events</x:v>
      </x:c>
    </x:row>
    <x:row r="10" ht="94" customHeight="1">
      <x:c r="A10" s="815" t="str">
        <x:v>ST-06</x:v>
      </x:c>
      <x:c r="B10" s="815" t="str">
        <x:v>Confirmed preferences</x:v>
      </x:c>
      <x:c r="C10" s="815" t="str">
        <x:v>versioned accessibility • content • localization profiles</x:v>
      </x:c>
      <x:c r="D10" s="815" t="str">
        <x:v>server-confirmed plus local bootstrap mirror</x:v>
      </x:c>
      <x:c r="E10" s="815" t="str">
        <x:v>preferences inferred from prose • unconfirmed profile as saved</x:v>
      </x:c>
    </x:row>
    <x:row r="11" ht="94" customHeight="1">
      <x:c r="A11" s="816" t="str">
        <x:v>ST-07</x:v>
      </x:c>
      <x:c r="B11" s="816" t="str">
        <x:v>Attention digest</x:v>
      </x:c>
      <x:c r="C11" s="816" t="str">
        <x:v>delivered public attention items • delivery basis</x:v>
      </x:c>
      <x:c r="D11" s="816" t="str">
        <x:v>memory; refresh from service</x:v>
      </x:c>
      <x:c r="E11" s="816" t="str">
        <x:v>undelivered fact inference • secret clocks</x:v>
      </x:c>
    </x:row>
    <x:row r="12" ht="94" customHeight="1">
      <x:c r="A12" s="817" t="str">
        <x:v>ST-08</x:v>
      </x:c>
      <x:c r="B12" s="817" t="str">
        <x:v>Media public workflow</x:v>
      </x:c>
      <x:c r="C12" s="817" t="str">
        <x:v>capture/job/reader/edition public projections • queue and Source Lock public references</x:v>
      </x:c>
      <x:c r="D12" s="817" t="str">
        <x:v>memory; authority stays server-side</x:v>
      </x:c>
      <x:c r="E12" s="817" t="str">
        <x:v>protected prompts • rights evidence • private references • accepted asset authority</x:v>
      </x:c>
    </x:row>
  </x:sheetData>
  <x:mergeCells>
    <x:mergeCell ref="A1:E1"/>
    <x:mergeCell ref="A2:E2"/>
  </x:mergeCells>
  <x:pageMargins left="0.7" right="0.7" top="0.75" bottom="0.75" header="0.3" footer="0.3"/>
  <x:tableParts count="1">
    <x:tablePart xmlns:r="http://schemas.openxmlformats.org/officeDocument/2006/relationships" r:id="R374216e42cab4905"/>
  </x:tableParts>
</x:worksheet>
</file>

<file path=xl/worksheets/sheet53.xml><?xml version="1.0" encoding="utf-8"?>
<x:worksheet xmlns:x="http://schemas.openxmlformats.org/spreadsheetml/2006/main">
  <x:sheetViews>
    <x:sheetView showGridLines="0" workbookViewId="0"/>
  </x:sheetViews>
  <x:sheetFormatPr defaultRowHeight="15"/>
  <x:cols>
    <x:col min="1" max="1" width="29" hidden="0" customWidth="1"/>
    <x:col min="2" max="2" width="18" hidden="0" customWidth="1"/>
    <x:col min="3" max="3" width="43" hidden="0" customWidth="1"/>
    <x:col min="4" max="4" width="4" hidden="0" customWidth="1"/>
    <x:col min="5" max="5" width="29" hidden="0" customWidth="1"/>
    <x:col min="6" max="6" width="24" hidden="0" customWidth="1"/>
    <x:col min="7" max="7" width="24" hidden="0" customWidth="1"/>
    <x:col min="8" max="8" width="24" hidden="0" customWidth="1"/>
  </x:cols>
  <x:sheetData>
    <x:row r="1" ht="31" customHeight="1">
      <x:c r="A1" s="851" t="str">
        <x:v>MYTHIC SUPERHERO RPG • PREIMPLEMENTATION HANDOFF</x:v>
      </x:c>
      <x:c r="B1" s="851" t="str">
        <x:v>MYTHIC SUPERHERO RPG • PREIMPLEMENTATION HANDOFF</x:v>
      </x:c>
      <x:c r="C1" s="851" t="str">
        <x:v>MYTHIC SUPERHERO RPG • PREIMPLEMENTATION HANDOFF</x:v>
      </x:c>
      <x:c r="D1" s="851" t="str">
        <x:v>MYTHIC SUPERHERO RPG • PREIMPLEMENTATION HANDOFF</x:v>
      </x:c>
      <x:c r="E1" s="851" t="str">
        <x:v>MYTHIC SUPERHERO RPG • PREIMPLEMENTATION HANDOFF</x:v>
      </x:c>
      <x:c r="F1" s="851" t="str">
        <x:v>MYTHIC SUPERHERO RPG • PREIMPLEMENTATION HANDOFF</x:v>
      </x:c>
      <x:c r="G1" s="851" t="str">
        <x:v>MYTHIC SUPERHERO RPG • PREIMPLEMENTATION HANDOFF</x:v>
      </x:c>
      <x:c r="H1" s="851" t="str">
        <x:v>MYTHIC SUPERHERO RPG • PREIMPLEMENTATION HANDOFF</x:v>
      </x:c>
    </x:row>
    <x:row r="2" ht="38" customHeight="1">
      <x:c r="A2" s="855" t="str">
        <x:v>Planning and finalized UX/UI complete • checksum-controlled Codex execution package ready • implementation authorization pending • production release CLOSED</x:v>
      </x:c>
      <x:c r="B2" s="855" t="str">
        <x:v>Planning and finalized UX/UI complete • checksum-controlled Codex execution package ready • implementation authorization pending • production release CLOSED</x:v>
      </x:c>
      <x:c r="C2" s="855" t="str">
        <x:v>Planning and finalized UX/UI complete • checksum-controlled Codex execution package ready • implementation authorization pending • production release CLOSED</x:v>
      </x:c>
      <x:c r="D2" s="855" t="str">
        <x:v>Planning and finalized UX/UI complete • checksum-controlled Codex execution package ready • implementation authorization pending • production release CLOSED</x:v>
      </x:c>
      <x:c r="E2" s="855" t="str">
        <x:v>Planning and finalized UX/UI complete • checksum-controlled Codex execution package ready • implementation authorization pending • production release CLOSED</x:v>
      </x:c>
      <x:c r="F2" s="855" t="str">
        <x:v>Planning and finalized UX/UI complete • checksum-controlled Codex execution package ready • implementation authorization pending • production release CLOSED</x:v>
      </x:c>
      <x:c r="G2" s="855" t="str">
        <x:v>Planning and finalized UX/UI complete • checksum-controlled Codex execution package ready • implementation authorization pending • production release CLOSED</x:v>
      </x:c>
      <x:c r="H2" s="855" t="str">
        <x:v>Planning and finalized UX/UI complete • checksum-controlled Codex execution package ready • implementation authorization pending • production release CLOSED</x:v>
      </x:c>
    </x:row>
    <x:row r="3" ht="25" customHeight="1"/>
    <x:row r="4" ht="25" customHeight="1">
      <x:c r="A4" s="857" t="str">
        <x:v>READINESS AUDIT</x:v>
      </x:c>
      <x:c r="B4" s="857"/>
      <x:c r="C4" s="857"/>
      <x:c r="D4" s="857"/>
      <x:c r="E4" s="857"/>
      <x:c r="F4" s="857"/>
      <x:c r="G4" s="857"/>
      <x:c r="H4" s="857"/>
    </x:row>
    <x:row r="5" ht="39" customHeight="1">
      <x:c r="A5" s="860" t="str">
        <x:v>Controlled checkpoint approvals</x:v>
      </x:c>
      <x:c r="B5" s="867" t="str">
        <x:v>PASS</x:v>
      </x:c>
      <x:c r="C5" s="863" t="str">
        <x:v>8 / 8 · C1–C4 and UI-01–UI-04</x:v>
      </x:c>
      <x:c r="E5" s="868" t="str">
        <x:v>CURRENT CONTROL STATE</x:v>
      </x:c>
      <x:c r="F5" s="868"/>
      <x:c r="G5" s="868"/>
      <x:c r="H5" s="868"/>
    </x:row>
    <x:row r="6" ht="39" customHeight="1">
      <x:c r="A6" s="860" t="str">
        <x:v>Pre-engineering specifications</x:v>
      </x:c>
      <x:c r="B6" s="867" t="str">
        <x:v>PASS</x:v>
      </x:c>
      <x:c r="C6" s="863" t="str">
        <x:v>6 / 6</x:v>
      </x:c>
      <x:c r="E6" s="860" t="str">
        <x:v>Preimplementation readiness</x:v>
      </x:c>
      <x:c r="F6" s="866" t="str">
        <x:v>READY</x:v>
      </x:c>
    </x:row>
    <x:row r="7" ht="39" customHeight="1">
      <x:c r="A7" s="860" t="str">
        <x:v>Scenario / component coverage</x:v>
      </x:c>
      <x:c r="B7" s="867" t="str">
        <x:v>PASS</x:v>
      </x:c>
      <x:c r="C7" s="863" t="str">
        <x:v>17 / 17 scenarios · 40 / 40 components</x:v>
      </x:c>
      <x:c r="E7" s="860" t="str">
        <x:v>Implementation construction</x:v>
      </x:c>
      <x:c r="F7" s="872" t="str">
        <x:v>AWAITING EXPLICIT AUTHORIZATION</x:v>
      </x:c>
    </x:row>
    <x:row r="8" ht="39" customHeight="1">
      <x:c r="A8" s="860" t="str">
        <x:v>Architecture contract coverage</x:v>
      </x:c>
      <x:c r="B8" s="867" t="str">
        <x:v>PASS</x:v>
      </x:c>
      <x:c r="C8" s="863" t="str">
        <x:v>14 routes · 10 machines · 16 ports · 60 operations</x:v>
      </x:c>
      <x:c r="E8" s="860" t="str">
        <x:v>Protected preview candidate</x:v>
      </x:c>
      <x:c r="F8" s="872" t="str">
        <x:v>NOT BUILT</x:v>
      </x:c>
    </x:row>
    <x:row r="9" ht="39" customHeight="1">
      <x:c r="A9" s="860" t="str">
        <x:v>Deterministic contract fixtures</x:v>
      </x:c>
      <x:c r="B9" s="867" t="str">
        <x:v>PASS</x:v>
      </x:c>
      <x:c r="C9" s="863" t="str">
        <x:v>127 fixtures</x:v>
      </x:c>
      <x:c r="E9" s="860" t="str">
        <x:v>Production deployment</x:v>
      </x:c>
      <x:c r="F9" s="876" t="str">
        <x:v>CLOSED</x:v>
      </x:c>
    </x:row>
    <x:row r="10" ht="39" customHeight="1">
      <x:c r="A10" s="860" t="str">
        <x:v>Architecture CI/release mappings</x:v>
      </x:c>
      <x:c r="B10" s="867" t="str">
        <x:v>PASS</x:v>
      </x:c>
      <x:c r="C10" s="863" t="str">
        <x:v>15 / 15 gates mapped</x:v>
      </x:c>
      <x:c r="E10" s="860" t="str">
        <x:v>Public release</x:v>
      </x:c>
      <x:c r="F10" s="876" t="str">
        <x:v>CLOSED</x:v>
      </x:c>
    </x:row>
    <x:row r="11" ht="39" customHeight="1">
      <x:c r="A11" s="860" t="str">
        <x:v>Ordered execution plan</x:v>
      </x:c>
      <x:c r="B11" s="867" t="str">
        <x:v>PASS</x:v>
      </x:c>
      <x:c r="C11" s="863" t="str">
        <x:v>16 packets · EP00 through EP15</x:v>
      </x:c>
    </x:row>
    <x:row r="12" ht="39" customHeight="1">
      <x:c r="A12" s="860" t="str">
        <x:v>Unresolved product decisions</x:v>
      </x:c>
      <x:c r="B12" s="867" t="str">
        <x:v>PASS</x:v>
      </x:c>
      <x:c r="C12" s="863" t="str">
        <x:v>0</x:v>
      </x:c>
    </x:row>
    <x:row r="13" ht="25" customHeight="1"/>
    <x:row r="14" ht="25" customHeight="1">
      <x:c r="A14" s="878" t="str">
        <x:v>FINAL IMPLEMENTATION AUTHORIZATION GATE</x:v>
      </x:c>
      <x:c r="B14" s="878"/>
      <x:c r="C14" s="878"/>
      <x:c r="D14" s="878"/>
      <x:c r="E14" s="878"/>
      <x:c r="F14" s="878"/>
      <x:c r="G14" s="878"/>
      <x:c r="H14" s="878"/>
    </x:row>
    <x:row r="15" ht="45" customHeight="1">
      <x:c r="A15" s="881" t="str">
        <x:v>Exact phrase to open the new-session construction run: “Authorize the clean-session Codex implementation run.” This authorizes protected-branch execution of EP00–EP15, deterministic fakes, tests and a protected preview candidate. It does not authorize production deployment, public release, destructive production mutation, paid providers, comic publication, art-rights/canon clearance or gate bypass.</x:v>
      </x:c>
      <x:c r="B15" s="881"/>
      <x:c r="C15" s="881"/>
      <x:c r="D15" s="881"/>
      <x:c r="E15" s="881"/>
      <x:c r="F15" s="881"/>
      <x:c r="G15" s="881"/>
      <x:c r="H15" s="881"/>
    </x:row>
    <x:row r="16" ht="45" customHeight="1">
      <x:c r="A16" s="881"/>
      <x:c r="B16" s="881"/>
      <x:c r="C16" s="881"/>
      <x:c r="D16" s="881"/>
      <x:c r="E16" s="881"/>
      <x:c r="F16" s="881"/>
      <x:c r="G16" s="881"/>
      <x:c r="H16" s="881"/>
    </x:row>
    <x:row r="17" ht="25" customHeight="1"/>
    <x:row r="18" ht="25" customHeight="1">
      <x:c r="A18" s="857" t="str">
        <x:v>CONTROLLED PACKAGE</x:v>
      </x:c>
      <x:c r="B18" s="857"/>
      <x:c r="C18" s="857"/>
      <x:c r="D18" s="857"/>
      <x:c r="E18" s="857"/>
      <x:c r="F18" s="857"/>
      <x:c r="G18" s="857"/>
      <x:c r="H18" s="857"/>
    </x:row>
    <x:row r="19" ht="25" customHeight="1">
      <x:c r="A19" s="860" t="str">
        <x:v>Package</x:v>
      </x:c>
      <x:c r="B19" s="863" t="str">
        <x:v>Mythic_RPG_Preimplementation_Readiness_and_Codex_Execution_Handoff_v1.0.zip</x:v>
      </x:c>
      <x:c r="C19" s="863"/>
      <x:c r="D19" s="863"/>
      <x:c r="E19" s="863"/>
      <x:c r="F19" s="863"/>
      <x:c r="G19" s="863"/>
      <x:c r="H19" s="863"/>
    </x:row>
    <x:row r="20" ht="25" customHeight="1">
      <x:c r="A20" s="860" t="str">
        <x:v>Artifact control</x:v>
      </x:c>
      <x:c r="B20" s="863" t="str">
        <x:v>33 checksum-controlled artifacts · eight embedded approved ZIPs</x:v>
      </x:c>
      <x:c r="C20" s="863"/>
      <x:c r="D20" s="863"/>
      <x:c r="E20" s="863"/>
      <x:c r="F20" s="863"/>
      <x:c r="G20" s="863"/>
      <x:c r="H20" s="863"/>
    </x:row>
    <x:row r="21" ht="25" customHeight="1">
      <x:c r="A21" s="860" t="str">
        <x:v>Start instruction</x:v>
      </x:c>
      <x:c r="B21" s="863" t="str">
        <x:v>00_START_HERE/CODEX_EXECUTION_PROMPT.md</x:v>
      </x:c>
      <x:c r="C21" s="863"/>
      <x:c r="D21" s="863"/>
      <x:c r="E21" s="863"/>
      <x:c r="F21" s="863"/>
      <x:c r="G21" s="863"/>
      <x:c r="H21" s="863"/>
    </x:row>
    <x:row r="22" ht="25" customHeight="1">
      <x:c r="A22" s="860" t="str">
        <x:v>Release rule</x:v>
      </x:c>
      <x:c r="B22" s="863" t="str">
        <x:v>Preimplementation readiness is not production readiness</x:v>
      </x:c>
      <x:c r="C22" s="863"/>
      <x:c r="D22" s="863"/>
      <x:c r="E22" s="863"/>
      <x:c r="F22" s="863"/>
      <x:c r="G22" s="863"/>
      <x:c r="H22" s="863"/>
    </x:row>
  </x:sheetData>
  <x:mergeCells>
    <x:mergeCell ref="A1:H1"/>
    <x:mergeCell ref="A2:H2"/>
    <x:mergeCell ref="A4:H4"/>
    <x:mergeCell ref="E5:H5"/>
    <x:mergeCell ref="F6:H6"/>
    <x:mergeCell ref="F7:H7"/>
    <x:mergeCell ref="F8:H8"/>
    <x:mergeCell ref="F9:H9"/>
    <x:mergeCell ref="F10:H10"/>
    <x:mergeCell ref="A14:H14"/>
    <x:mergeCell ref="A15:H16"/>
    <x:mergeCell ref="A18:H18"/>
    <x:mergeCell ref="B19:H19"/>
    <x:mergeCell ref="B20:H20"/>
    <x:mergeCell ref="B21:H21"/>
    <x:mergeCell ref="B22:H22"/>
  </x:mergeCells>
  <x:pageMargins left="0.7" right="0.7" top="0.75" bottom="0.75" header="0.3" footer="0.3"/>
</x:worksheet>
</file>